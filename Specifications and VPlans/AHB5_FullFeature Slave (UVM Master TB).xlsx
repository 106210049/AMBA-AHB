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https://synopsys-my.sharepoint.com/personal/tonnu_synopsys_com/Documents/Desktop/DV-SNPS/"/>
    </mc:Choice>
  </mc:AlternateContent>
  <xr:revisionPtr revIDLastSave="0" documentId="8_{A651E50A-DF76-45D9-93BA-77CD42D8012A}" xr6:coauthVersionLast="47" xr6:coauthVersionMax="47" xr10:uidLastSave="{00000000-0000-0000-0000-000000000000}"/>
  <bookViews>
    <workbookView xWindow="-120" yWindow="-120" windowWidth="38640" windowHeight="21120" firstSheet="6" activeTab="6" xr2:uid="{38ACEB61-EC77-4F71-9C68-20E8F77D7547}"/>
  </bookViews>
  <sheets>
    <sheet name="Sample + Docs" sheetId="2" r:id="rId1"/>
    <sheet name="Vplan (1)" sheetId="7" r:id="rId2"/>
    <sheet name="Testplan(v0.1)" sheetId="10" r:id="rId3"/>
    <sheet name="Final" sheetId="12" r:id="rId4"/>
    <sheet name="Testlan (v1.0)" sheetId="13" r:id="rId5"/>
    <sheet name="Final Testlan (v1.1) - Full" sheetId="15" r:id="rId6"/>
    <sheet name="Verification Plan (v1.2)" sheetId="16" r:id="rId7"/>
    <sheet name="Scansheet" sheetId="9" r:id="rId8"/>
    <sheet name="TemplateCoverage" sheetId="8" r:id="rId9"/>
    <sheet name="Scansheet(v0.1)" sheetId="11" r:id="rId10"/>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6" i="16" l="1"/>
  <c r="M37" i="16" s="1"/>
  <c r="J3" i="2"/>
  <c r="G4" i="2"/>
  <c r="G5" i="2"/>
  <c r="G3" i="2"/>
  <c r="N36" i="16" l="1"/>
  <c r="N37" i="16" l="1"/>
  <c r="M39" i="16"/>
  <c r="N39"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tc={C6BB17AD-30B4-4AAE-8336-71BB003824D2}</author>
  </authors>
  <commentList>
    <comment ref="E15" authorId="0" shapeId="0" xr:uid="{C6BB17AD-30B4-4AAE-8336-71BB003824D2}">
      <text>
        <t>[Threaded comment]
Your version of Excel allows you to read this threaded comment; however, any edits to it will get removed if the file is opened in a newer version of Excel. Learn more: https://go.microsoft.com/fwlink/?linkid=870924
Comment:
    Thiếu test:
1. locked transfer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tc={30EC1DF0-DC38-4487-A087-C47080D3548C}</author>
  </authors>
  <commentList>
    <comment ref="E33" authorId="0" shapeId="0" xr:uid="{30EC1DF0-DC38-4487-A087-C47080D3548C}">
      <text>
        <t>[Threaded comment]
Your version of Excel allows you to read this threaded comment; however, any edits to it will get removed if the file is opened in a newer version of Excel. Learn more: https://go.microsoft.com/fwlink/?linkid=870924
Comment:
    Thiếu test:
1. locked transfer</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tc={00A6D257-F791-4EFA-B238-A84CFBBE510E}</author>
  </authors>
  <commentList>
    <comment ref="F11" authorId="0" shapeId="0" xr:uid="{00A6D257-F791-4EFA-B238-A84CFBBE510E}">
      <text>
        <t>[Threaded comment]
Your version of Excel allows you to read this threaded comment; however, any edits to it will get removed if the file is opened in a newer version of Excel. Learn more: https://go.microsoft.com/fwlink/?linkid=870924
Comment:
    Thiếu test:
1. locked transfer</t>
      </text>
    </comment>
  </commentList>
</comments>
</file>

<file path=xl/sharedStrings.xml><?xml version="1.0" encoding="utf-8"?>
<sst xmlns="http://schemas.openxmlformats.org/spreadsheetml/2006/main" count="2340" uniqueCount="1060">
  <si>
    <t>Index</t>
  </si>
  <si>
    <t>Priority</t>
  </si>
  <si>
    <t xml:space="preserve">Feature </t>
  </si>
  <si>
    <t>Sub-Feature1</t>
  </si>
  <si>
    <t>Sub-Feature2</t>
  </si>
  <si>
    <t>Sub-Feature3</t>
  </si>
  <si>
    <t>Feature Descriptions</t>
  </si>
  <si>
    <t>Test description</t>
  </si>
  <si>
    <t>Pass-fail Criteria</t>
  </si>
  <si>
    <t>TestPlan Input</t>
  </si>
  <si>
    <t>Owner</t>
  </si>
  <si>
    <t>Due date</t>
  </si>
  <si>
    <t>status</t>
  </si>
  <si>
    <t>Testname</t>
  </si>
  <si>
    <t>/Check point</t>
  </si>
  <si>
    <t>(Design Spec/CKT Spec/uArch/CSR)</t>
  </si>
  <si>
    <t>Write transfer</t>
  </si>
  <si>
    <t>single burst</t>
  </si>
  <si>
    <t>address = 'h0000</t>
  </si>
  <si>
    <t>1. Random data, with address same as 'CELL E3'
2. Schedule a write transfer</t>
  </si>
  <si>
    <t>2. Check data is transferred correctly</t>
  </si>
  <si>
    <t>address = 'hFFFF</t>
  </si>
  <si>
    <t>1. Random data, with address same as 'CELL E4'
2. Schedule a write transfer</t>
  </si>
  <si>
    <t>address = random</t>
  </si>
  <si>
    <t>1. Random data, with address same as 'CELL E5'
2. Schedule a write transfer</t>
  </si>
  <si>
    <t>multiple burst</t>
  </si>
  <si>
    <t>Outstanding</t>
  </si>
  <si>
    <t>Read transfer</t>
  </si>
  <si>
    <t>Quote ID</t>
  </si>
  <si>
    <t>Spec quotation</t>
  </si>
  <si>
    <t>CHK/NOCHK</t>
  </si>
  <si>
    <t>C3.1
C3.1.1  
Read and write address channel signaling
The following sections define the additional signals on the read and write address channels</t>
  </si>
  <si>
    <t>Verification of Advanced High-performance Bus (AHB) Architecture - Studocu</t>
  </si>
  <si>
    <t>https://github.com/lucky-wfw/ARM_AMBA_Design/tree/main/AHB</t>
  </si>
  <si>
    <t>https://deepwiki.com/adki/AMBA_AXI_AHB_APB/3-ahb-protocol</t>
  </si>
  <si>
    <t>https://github.com/designsolver/ahb3_uvm_tb/tree/master/ahb_slave_agent</t>
  </si>
  <si>
    <t>GitHub - abhishekpatel9370/AHB-Protocol-Verification-SystemVerilog-OOP-Testbench</t>
  </si>
  <si>
    <t>GitHub - kashifminhas/AMBA-3-AHB-Lite: System Verilog Test-bench for verification of AMBA 3 AHB-Lite</t>
  </si>
  <si>
    <t>Feature</t>
  </si>
  <si>
    <t>Pass-Fail Criteria (/Check point)</t>
  </si>
  <si>
    <t>TestPlan Input (Design Spec/CKT Spec/Arch/CSR)</t>
  </si>
  <si>
    <t>High</t>
  </si>
  <si>
    <t>Reset/Init</t>
  </si>
  <si>
    <t>Reset sequencing</t>
  </si>
  <si>
    <t>AHB-Lite reset behavior: 
after deassert, HREADY=1, HTRANS=IDLE, no X/Z.</t>
  </si>
  <si>
    <t>UVM reset_seq toggles HRESETn (async assert, sync deassert); 
monitors sample signals for N cycles.</t>
  </si>
  <si>
    <t>Signals return to IDLE; 
no transfer while reset active; 
no X/Z after deassert N cycles.</t>
  </si>
  <si>
    <t>Design Spec, 
Protocol (AMBA AHB)</t>
  </si>
  <si>
    <t>Trang</t>
  </si>
  <si>
    <t>t_reset_seq</t>
  </si>
  <si>
    <t>Address Phase</t>
  </si>
  <si>
    <t>Stability on wait</t>
  </si>
  <si>
    <t>Address/control lines must be stable while HREADY=0.</t>
  </si>
  <si>
    <t>random_burst_seq; slave agent inserts random waits.</t>
  </si>
  <si>
    <t>HADDR/HTRANS/HWRITE/HSIZE/HBURST 
unchanged during wait; SVA pass.</t>
  </si>
  <si>
    <t>Protocol + Checker spec</t>
  </si>
  <si>
    <t>t_addr_stable_wait</t>
  </si>
  <si>
    <t>HTRANS legality</t>
  </si>
  <si>
    <t>BUSY usage</t>
  </si>
  <si>
    <t>Legal transitions: first beat NONSEQ;
 following beats SEQ; BUSY has no side-effects.</t>
  </si>
  <si>
    <t>mixed_htrans_seq mixes BUSY/IDLE with bursts.</t>
  </si>
  <si>
    <t>No illegal HTRANS; 
BUSY does not change addr/size/burst.</t>
  </si>
  <si>
    <t>Protocol + TB arch</t>
  </si>
  <si>
    <t>t_htrans_legal</t>
  </si>
  <si>
    <t>Basic Transfer</t>
  </si>
  <si>
    <t>SINGLE Write</t>
  </si>
  <si>
    <t>1-beat write transfer.</t>
  </si>
  <si>
    <t>single_rw_seq drives SINGLE writes on random addresses.</t>
  </si>
  <si>
    <t>Exactly one commit on HREADY=1; 
scoreboard match.</t>
  </si>
  <si>
    <t>Design Spec + Scoreboard model</t>
  </si>
  <si>
    <t>t_single_write</t>
  </si>
  <si>
    <t>SINGLE Read</t>
  </si>
  <si>
    <t>1-beat read transfer.</t>
  </si>
  <si>
    <t>single_rw_seq drives SINGLE reads on random addresses.</t>
  </si>
  <si>
    <t>Data equals model; 
data sampled only when HREADY=1.</t>
  </si>
  <si>
    <t>t_single_read</t>
  </si>
  <si>
    <t>Pipeline</t>
  </si>
  <si>
    <t>Addr/Data overlap</t>
  </si>
  <si>
    <t>Address phase of B overlaps data phase of A; slave handles correctly.</t>
  </si>
  <si>
    <t>Drive continuous stream of single transfers.</t>
  </si>
  <si>
    <t>No corruption; completion order &amp; data integrity preserved.</t>
  </si>
  <si>
    <t>Spec 1.5.1 (Pipeline operations)</t>
  </si>
  <si>
    <t>Long</t>
  </si>
  <si>
    <t>t_pipeline</t>
  </si>
  <si>
    <t>Transfer Size</t>
  </si>
  <si>
    <t>HSIZE 8-bit</t>
  </si>
  <si>
    <t>HSIZE 16-bit</t>
  </si>
  <si>
    <t>HSIZE 32-bit</t>
  </si>
  <si>
    <t>Correct size encoding and byte-lane enables for 8/16/32.</t>
  </si>
  <si>
    <t>var_size_seq randomizes HSIZE and alignment.</t>
  </si>
  <si>
    <t>Lane mask matches HSIZE &amp; addr alignment; 
no misaligned data.</t>
  </si>
  <si>
    <t>Protocol + CSR if any</t>
  </si>
  <si>
    <t>t_sizes_lane_en</t>
  </si>
  <si>
    <t>Burst</t>
  </si>
  <si>
    <t>INCR variable len</t>
  </si>
  <si>
    <t>Incrementing burst with variable length 2..32.</t>
  </si>
  <si>
    <t>incr_burst_seq randomizes length and size.</t>
  </si>
  <si>
    <t>Addr increments by size; 
number of commits equals beats.</t>
  </si>
  <si>
    <t>Protocol</t>
  </si>
  <si>
    <t>t_incr_var</t>
  </si>
  <si>
    <t>INCR4</t>
  </si>
  <si>
    <t>Fixed 4-beat incrementing burst.</t>
  </si>
  <si>
    <t>incr4_seq with optional waits.</t>
  </si>
  <si>
    <t>4 commits; HTRANS: NONSEQ then SEQ×3.</t>
  </si>
  <si>
    <t>t_incr4</t>
  </si>
  <si>
    <t>INCR8</t>
  </si>
  <si>
    <t>Fixed 8-beat incrementing burst.</t>
  </si>
  <si>
    <t>incr8_seq with optional waits.</t>
  </si>
  <si>
    <t>8 commits; legal timing.</t>
  </si>
  <si>
    <t>t_incr8</t>
  </si>
  <si>
    <t>INCR16</t>
  </si>
  <si>
    <t>Fixed 16-beat incrementing burst.</t>
  </si>
  <si>
    <t>incr16_seq; slave may stall.</t>
  </si>
  <si>
    <t>16 commits; stability rules satisfied.</t>
  </si>
  <si>
    <t>t_incr16</t>
  </si>
  <si>
    <t>WRAP4 (if supported)</t>
  </si>
  <si>
    <t>4-beat wrapping burst on aligned boundary.</t>
  </si>
  <si>
    <t>wrap_seq aligned start.</t>
  </si>
  <si>
    <t>Correct wrap pattern and boundary math.</t>
  </si>
  <si>
    <t>t_wrap4</t>
  </si>
  <si>
    <t>WRAP8 (if supported)</t>
  </si>
  <si>
    <t>8-beat wrapping burst.</t>
  </si>
  <si>
    <t>Correct wrap pattern.</t>
  </si>
  <si>
    <t>t_wrap8</t>
  </si>
  <si>
    <t>WRAP16 (if supported)</t>
  </si>
  <si>
    <t>16-beat wrapping burst.</t>
  </si>
  <si>
    <t>t_wrap16</t>
  </si>
  <si>
    <t>Next address phase overlaps current data phase.</t>
  </si>
  <si>
    <t>random_burst_seq back-to-back.</t>
  </si>
  <si>
    <t>No hazard; protocol SVA pass.</t>
  </si>
  <si>
    <t>t_pipeline_overlap</t>
  </si>
  <si>
    <t>Wait States</t>
  </si>
  <si>
    <t>Slave wait insertion</t>
  </si>
  <si>
    <t>Slave holds HREADY low for random cycles.</t>
  </si>
  <si>
    <t>stall_write_seq + slave latency control.</t>
  </si>
  <si>
    <t>Control stable; data held; no dup/loss.</t>
  </si>
  <si>
    <t>t_wait_states</t>
  </si>
  <si>
    <t>Response</t>
  </si>
  <si>
    <t>OKAY</t>
  </si>
  <si>
    <t>Normal completion with OKAY response.</t>
  </si>
  <si>
    <t>random_ahb_seq across legal transfers.</t>
  </si>
  <si>
    <t>All normal beats observe HRESP=OKAY.</t>
  </si>
  <si>
    <t>Spec 1.8.2</t>
  </si>
  <si>
    <t>t_resp_okay</t>
  </si>
  <si>
    <t>ERROR</t>
  </si>
  <si>
    <t>Two-cycle timing</t>
  </si>
  <si>
    <t>Next transfer</t>
  </si>
  <si>
    <t>Error termination on selected beat.</t>
  </si>
  <si>
    <t>Slave injects ERROR at random beat.</t>
  </si>
  <si>
    <t>Burst aborts immediately; 
next beat not SEQ; no extra commit.</t>
  </si>
  <si>
    <t>Spec 1.8</t>
  </si>
  <si>
    <t>t_resp_error</t>
  </si>
  <si>
    <t>BUSY cycles mid-burst without side-effects.</t>
  </si>
  <si>
    <t>mixed_htrans_seq inserts BUSY.</t>
  </si>
  <si>
    <t>No change to address/size/burst; 
legal timing.</t>
  </si>
  <si>
    <t>t_busy_usage</t>
  </si>
  <si>
    <t>Back-to-back</t>
  </si>
  <si>
    <t>Burst chaining</t>
  </si>
  <si>
    <t>Mixed sizes</t>
  </si>
  <si>
    <t>Mixed types</t>
  </si>
  <si>
    <t>Two bursts chained with zero idle.</t>
  </si>
  <si>
    <t>virtual sequence runs burst A then burst B.</t>
  </si>
  <si>
    <t>First beat of next burst is NONSEQ;
no illegal overlap.</t>
  </si>
  <si>
    <t>t_back2back_chain</t>
  </si>
  <si>
    <t>Read Data</t>
  </si>
  <si>
    <t>Latency 0..10</t>
  </si>
  <si>
    <t>Variable read latency.</t>
  </si>
  <si>
    <t>Slave randomizes latency 0..10 cycles.</t>
  </si>
  <si>
    <t>Data valid only when HREADY=1; 
scoreboard match.</t>
  </si>
  <si>
    <t>Protocol + Scoreboard</t>
  </si>
  <si>
    <t>t_read_latency</t>
  </si>
  <si>
    <t>Write Data</t>
  </si>
  <si>
    <t>Back-pressure</t>
  </si>
  <si>
    <t>Write burst under stall.</t>
  </si>
  <si>
    <t>stall_write_seq holds data while HREADY=0.</t>
  </si>
  <si>
    <t>No loss/dup; commits == beats.</t>
  </si>
  <si>
    <t>t_write_stall</t>
  </si>
  <si>
    <t>Addressing</t>
  </si>
  <si>
    <t>Unaligned start vs size</t>
  </si>
  <si>
    <t>Start address unaligned vs HSIZE (if allowed).</t>
  </si>
  <si>
    <t>var_size_seq with random offsets.</t>
  </si>
  <si>
    <t>Lane enables correct; spec behavior.</t>
  </si>
  <si>
    <t>t_unaligned_start</t>
  </si>
  <si>
    <t>Decoder</t>
  </si>
  <si>
    <t>Address map</t>
  </si>
  <si>
    <t>Correct slave selected per address ranges.</t>
  </si>
  <si>
    <t>random addresses across ranges.</t>
  </si>
  <si>
    <t>Only target slave selected; 
no multiple selects.</t>
  </si>
  <si>
    <t>Arch/Address map</t>
  </si>
  <si>
    <t>t_addr_decode</t>
  </si>
  <si>
    <t>Default Slave</t>
  </si>
  <si>
    <t>Unmapped access</t>
  </si>
  <si>
    <t>Unmapped addresses return ERROR without side effects.</t>
  </si>
  <si>
    <t>Generate addresses outside map.</t>
  </si>
  <si>
    <t>Default slave returns ERROR.</t>
  </si>
  <si>
    <t>t_default_slave</t>
  </si>
  <si>
    <t>Med</t>
  </si>
  <si>
    <t>Corner</t>
  </si>
  <si>
    <t>Long burst + waits</t>
  </si>
  <si>
    <t>INCR16 under heavy waits.</t>
  </si>
  <si>
    <t>random_ahb_seq biased to long bursts &amp; stalls.</t>
  </si>
  <si>
    <t>No deadlock; stability rules hold.</t>
  </si>
  <si>
    <t>t_long_burst_waits</t>
  </si>
  <si>
    <t>Wrap @boundary (if WRAP)</t>
  </si>
  <si>
    <t>Wrap near boundary.</t>
  </si>
  <si>
    <t>wrap_seq starting near boundary.</t>
  </si>
  <si>
    <t>Correct wrap and no overflow.</t>
  </si>
  <si>
    <t>t_wrap_boundary</t>
  </si>
  <si>
    <t>Mixed sizes back-to-back</t>
  </si>
  <si>
    <t>Change sizes across chained bursts.</t>
  </si>
  <si>
    <t>virtual sequence alternates sizes.</t>
  </si>
  <si>
    <t>No align error; correct strobes.</t>
  </si>
  <si>
    <t>t_mixed_sizes</t>
  </si>
  <si>
    <t>Address rollover</t>
  </si>
  <si>
    <t>Start near 0xFFFF_FFFC to test rollover.</t>
  </si>
  <si>
    <t>directed rollover pattern.</t>
  </si>
  <si>
    <t>Defined rollover behavior.</t>
  </si>
  <si>
    <t>t_addr_rollover</t>
  </si>
  <si>
    <t>Timing</t>
  </si>
  <si>
    <t>Min pulse/ordering via SVA</t>
  </si>
  <si>
    <t>Protocol timing/ordering rules.</t>
  </si>
  <si>
    <t>Assertions on min pulse and ordering.</t>
  </si>
  <si>
    <t>No SVA violation.</t>
  </si>
  <si>
    <t>Checker spec</t>
  </si>
  <si>
    <t>t_sva_timing</t>
  </si>
  <si>
    <t>Low</t>
  </si>
  <si>
    <t>Robustness</t>
  </si>
  <si>
    <t>Illegal HTRANS</t>
  </si>
  <si>
    <t>Inject illegal HTRANS (negative).</t>
  </si>
  <si>
    <t>neg_illegal_htrans_seq.</t>
  </si>
  <si>
    <t>Checker flags violation; DUT safe.</t>
  </si>
  <si>
    <t>Checker/VIP</t>
  </si>
  <si>
    <t>t_illegal_htrans</t>
  </si>
  <si>
    <t>Illegal HBURST</t>
  </si>
  <si>
    <t>Inject illegal HBURST (negative).</t>
  </si>
  <si>
    <t>neg_illegal_hburst_seq.</t>
  </si>
  <si>
    <t>t_illegal_hburst</t>
  </si>
  <si>
    <t>Illegal HSIZE</t>
  </si>
  <si>
    <t>Inject invalid/oversized HSIZE (negative).</t>
  </si>
  <si>
    <t>neg_illegal_hsize_seq.</t>
  </si>
  <si>
    <t>t_illegal_hsize</t>
  </si>
  <si>
    <t>Reset Robustness</t>
  </si>
  <si>
    <t>Reset mid-burst</t>
  </si>
  <si>
    <t>Assert reset during active transfer at random beat.</t>
  </si>
  <si>
    <t>reset_mid_burst_seq.</t>
  </si>
  <si>
    <t>DUT returns to clean IDLE; 
no stuck signals.</t>
  </si>
  <si>
    <t>t_reset_mid</t>
  </si>
  <si>
    <t>Debug</t>
  </si>
  <si>
    <t>Protocol checker run</t>
  </si>
  <si>
    <t>Long random smoke with assertions and scoreboard.</t>
  </si>
  <si>
    <t>r_smoke_full_protocol.</t>
  </si>
  <si>
    <t>0 assertion failures; scoreboard clean.</t>
  </si>
  <si>
    <t>TB Arch</t>
  </si>
  <si>
    <t>t_smoke</t>
  </si>
  <si>
    <t>Transfer types</t>
  </si>
  <si>
    <t>IDLE</t>
  </si>
  <si>
    <t>Idle handling</t>
  </si>
  <si>
    <t>Behavior when HTRANS=IDLE; subordinate ignores and returns OKAY. During wait, address can change ONLY while still IDLE. Once NONSEQ is asserted, hold until HREADY HIGH.</t>
  </si>
  <si>
    <t>Drive IDLE under normal and waited cycles; vary HADDR while IDLE then switch to NONSEQ and attempt to change again (should be held).</t>
  </si>
  <si>
    <t>HRESP=OKAY always; No data move; After asserting NONSEQ, HTRANS/HADDR remain constant until HREADY=1.</t>
  </si>
  <si>
    <t>Spec 1.5.2; 1.7.1; 1.7.2</t>
  </si>
  <si>
    <t xml:space="preserve">Long </t>
  </si>
  <si>
    <t>t_idle</t>
  </si>
  <si>
    <t>NONSEQ</t>
  </si>
  <si>
    <t>Start transfer/burst</t>
  </si>
  <si>
    <t>NONSEQ starts single or a burst; control independent of previous cycle.</t>
  </si>
  <si>
    <t>Issue NONSEQ with HBURST=SINGLE/INCR/INCR4/WRAP and reads/writes.</t>
  </si>
  <si>
    <t>Transfer accepted when HREADY=1; Next cycle SEQ or IDLE per burst type.</t>
  </si>
  <si>
    <t>Spec 1.5.2; 1.6.1</t>
  </si>
  <si>
    <t>t_nonseq</t>
  </si>
  <si>
    <t>SEQ</t>
  </si>
  <si>
    <t>Subsequent beats</t>
  </si>
  <si>
    <t>SEQ continues a burst with proper address increment/wrap.</t>
  </si>
  <si>
    <t>Run various bursts and verify addresses advance or wrap by HSIZE.</t>
  </si>
  <si>
    <t>Address sequence matches burst rules; last beat ends burst.</t>
  </si>
  <si>
    <t>Spec 1.5.2; 1.6.2</t>
  </si>
  <si>
    <t>t_seq</t>
  </si>
  <si>
    <t>BUSY</t>
  </si>
  <si>
    <t>Fixed-length bursts</t>
  </si>
  <si>
    <t>In INCR4/8/16 and WRAP4/8/16, BUSY may be inserted between beats but the next valid transfer must be SEQ.</t>
  </si>
  <si>
    <t>Insert BUSY during wait and no-wait; attempt BUSY→NONSEQ/IDLE and ensure DUT holds to SEQ only.</t>
  </si>
  <si>
    <t>Only SEQ permitted after BUSY; any NONSEQ/IDLE flagged illegal.</t>
  </si>
  <si>
    <t>Spec 1.7.1 (p31)</t>
  </si>
  <si>
    <t>t_busy_fix</t>
  </si>
  <si>
    <t>INCR (undefined length)</t>
  </si>
  <si>
    <t>For INCR, manager may change from BUSY to SEQ/IDLE/NONSEQ while HREADY=0; SEQ continues; IDLE/NONSEQ terminates current burst.</t>
  </si>
  <si>
    <t>Create stall on BUSY; switch to SEQ (continue) and to NONSEQ/IDLE (terminate).</t>
  </si>
  <si>
    <t>On NONSEQ/IDLE, pending beat is not executed; on SEQ it is.</t>
  </si>
  <si>
    <t>Spec 1.7.2 (p32)</t>
  </si>
  <si>
    <t>t_busy_incr</t>
  </si>
  <si>
    <t>Waited transfers</t>
  </si>
  <si>
    <t>IDLE→NONSEQ (stalled)</t>
  </si>
  <si>
    <t>Hold rule</t>
  </si>
  <si>
    <t>During wait, may change from IDLE to NONSEQ but must keep HTRANS constant until HREADY=1.</t>
  </si>
  <si>
    <t>Force HREADY=0; drive IDLE then NONSEQ; attempt further changes (must be held).</t>
  </si>
  <si>
    <t>No toggling after NONSEQ until ready; accept at HREADY rising.</t>
  </si>
  <si>
    <t>Spec 1.7.1 (p30)</t>
  </si>
  <si>
    <t>t_wait_idle</t>
  </si>
  <si>
    <t>BUSY fixed-length</t>
  </si>
  <si>
    <t>BUSY→SEQ only</t>
  </si>
  <si>
    <t>With HREADY LOW, only SEQ is legal after BUSY in fixed-length bursts.</t>
  </si>
  <si>
    <t>Random stalls during BUSY; try to switch to NONSEQ/IDLE (should be disallowed).</t>
  </si>
  <si>
    <t>Only SEQ observed; no protocol violation.</t>
  </si>
  <si>
    <t>t_wait_busy_fix</t>
  </si>
  <si>
    <t>BUSY in INCR</t>
  </si>
  <si>
    <t>BUSY→{SEQ,IDLE,NONSEQ}</t>
  </si>
  <si>
    <t>During wait, permitted to switch from BUSY to any other type; SEQ continues; IDLE/NONSEQ terminates.</t>
  </si>
  <si>
    <t>Create wait; attempt each transition; verify pending beat executed only for SEQ.</t>
  </si>
  <si>
    <t>Data/address for pending beat dropped for NONSEQ/IDLE; continues for SEQ.</t>
  </si>
  <si>
    <t>Spec 1.7.1 (p32)</t>
  </si>
  <si>
    <t>t_wait_busy_incr</t>
  </si>
  <si>
    <t>Address change</t>
  </si>
  <si>
    <t>IDLE case</t>
  </si>
  <si>
    <t>Change while stalled</t>
  </si>
  <si>
    <t>Hold after NONSEQ</t>
  </si>
  <si>
    <t>While IDLE and stalled, master may change address; after NONSEQ, address must be held to ready.</t>
  </si>
  <si>
    <t>Change HADDR during IDLE under HREADY=0; assert NONSEQ; attempt further changes.</t>
  </si>
  <si>
    <t>HADDR changes only in IDLE; constant after NONSEQ until ready.</t>
  </si>
  <si>
    <t>Spec 1.7.2 (p33)</t>
  </si>
  <si>
    <t>t_addr_change_idle</t>
  </si>
  <si>
    <t>ERROR case</t>
  </si>
  <si>
    <t>Two-cycle error</t>
  </si>
  <si>
    <t>Re-address</t>
  </si>
  <si>
    <t>On ERROR response, master may change address during the LOW cycle of ERROR; slave completes ERROR then accepts new transfer.</t>
  </si>
  <si>
    <t>Inject ERROR (two-cycle); change HADDR/HTRANS in first cycle (HREADY=0); start new transfer next.</t>
  </si>
  <si>
    <t>ERROR shape correct (second cycle HREADY=1); new address effective after ERROR.</t>
  </si>
  <si>
    <t>Spec 1.7.2 (p34); 1.8</t>
  </si>
  <si>
    <t>t_addr_change_error</t>
  </si>
  <si>
    <t>locked transfers</t>
  </si>
  <si>
    <t>HMASTLOCK=1</t>
  </si>
  <si>
    <t>No deadlock</t>
  </si>
  <si>
    <t>Post-IDLE rec</t>
  </si>
  <si>
    <t>Slave handles locked sequences without deadlock; note recommends IDLE after lock.</t>
  </si>
  <si>
    <t>Drive locked read→write then release; insert IDLE.</t>
  </si>
  <si>
    <t>All accesses succeed; no protocol issues; optional check for recommended IDLE.</t>
  </si>
  <si>
    <t>Spec 1.5.3</t>
  </si>
  <si>
    <t>t_lock_trans</t>
  </si>
  <si>
    <t>Check</t>
  </si>
  <si>
    <t>AHB reset behavior: 
after deassert, HREADY=1, HTRANS=IDLE, no X/Z.</t>
  </si>
  <si>
    <t>OKAY + waits</t>
  </si>
  <si>
    <t>Write with optional waits; HWDATA sampled on completion.</t>
  </si>
  <si>
    <t>Random wait cycles then assert HREADY=1 &amp; OKAY to complete.</t>
  </si>
  <si>
    <t>Wrote data observed in model memory after completion.</t>
  </si>
  <si>
    <t>Spec 1.5.1; 1.8</t>
  </si>
  <si>
    <t>Read with optional slave waits; data valid only at HREADY=1.</t>
  </si>
  <si>
    <t>Random wait cycles then return OKAY with HRDATA.</t>
  </si>
  <si>
    <t>Data sampled on completion (HREADY=1 &amp; OKAY); address held stable during wait.</t>
  </si>
  <si>
    <t>Single</t>
  </si>
  <si>
    <t>1-beat</t>
  </si>
  <si>
    <t>Single transfer burst behavior.</t>
  </si>
  <si>
    <t>Execute standalone NONSEQ read/write with waits.</t>
  </si>
  <si>
    <t>No SEQ; completes with OKAY.</t>
  </si>
  <si>
    <t>Spec 1.6.1</t>
  </si>
  <si>
    <t>t_single</t>
  </si>
  <si>
    <t>Spec 1.6.1; 1.6.2 (p26)</t>
  </si>
  <si>
    <t>Spec 1.6.2 (p21)</t>
  </si>
  <si>
    <t>Spec 1.6.2 (p24)</t>
  </si>
  <si>
    <t>Spec 1.6.2 (p20)</t>
  </si>
  <si>
    <t>Spec 1.6.2 (p22)</t>
  </si>
  <si>
    <t>Hold after 
NONSEQ</t>
  </si>
  <si>
    <t>Locked transfers</t>
  </si>
  <si>
    <t>Pass-fail Criteria /Check point</t>
  </si>
  <si>
    <t>TestPlan Input 
(Design Spec/CKT Spec/uArch/CSR)</t>
  </si>
  <si>
    <t>Reset</t>
  </si>
  <si>
    <t>Cold reset</t>
  </si>
  <si>
    <t>AHB5 reset behavior: 
while HRESETn=0, interface forced to IDLE; 
after deassert sync, outputs stable idle (no X/Z), HREADYOUT=1.</t>
  </si>
  <si>
    <t>1) Assert HRESETn=0 for &gt;=3 cycles.
2) During reset: HREADYOUT=1, HRESP=OKAY; no spurious HRDATA; HTRANS=IDLE at slave.
3) Deassert reset sync with HCLK.
4) Observe N cycles: outputs stable, no X/Z, no phantom commit.
5) Issue legal SINGLE READ to confirm bus operational.</t>
  </si>
  <si>
    <t>During reset: HREADYOUT=1/HRESP=OKAY. 
After reset: no X/Z for N cycles; first legal transfer OKAY.</t>
  </si>
  <si>
    <t>AMBA 5 AHB Spec; Design reset</t>
  </si>
  <si>
    <t>t_reset_cold</t>
  </si>
  <si>
    <t>Mid-burst reset</t>
  </si>
  <si>
    <t>Reset asserted during active burst must abort and return to IDLE.</t>
  </si>
  <si>
    <t xml:space="preserve">
1) Start INCR4 write: T0 NONSEQ @A0, T1 SEQ.
2) In data phase of beat2, assert HRESETn=0 async.
3) DUT returns to reset defaults.
4) Deassert reset; issue SINGLE NONSEQ.
5) Ensure no partial commit before reset.</t>
  </si>
  <si>
    <t>No stuck signals; 
no partial commit; 
next legal transfer fresh NONSEQ.</t>
  </si>
  <si>
    <t>Reset while 
waited</t>
  </si>
  <si>
    <t>Reset overrides wait 
(HREADYOUT=0); no partial commit.</t>
  </si>
  <si>
    <t>1) Start SINGLE WRITE; DUT holds HREADYOUT=0 N cycles.
2) While waited, assert HRESETn=0.
3) Deassert, then READ A1 -&gt; confirm no commit.</t>
  </si>
  <si>
    <t>No commit for in-flight waited transfer; 
outputs to reset defaults; subsequent legal transfers OK.</t>
  </si>
  <si>
    <t>AMBA 5 AHB Spec</t>
  </si>
  <si>
    <t>t_reset_wait</t>
  </si>
  <si>
    <t>Single WRITE</t>
  </si>
  <si>
    <t>One-beat write with zero wait; 
sample at completion.</t>
  </si>
  <si>
    <t>1) T0: HTRANS=NONSEQ, HWRITE=1, HSIZE=cfg, HBURST=SINGLE, HADDR=A0; HWDATA=D0.
2) T1: HREADYOUT=1 &amp; HRESP=OKAY -&gt; commit D0 to mem[A0].
3) Check mem[A0]==D0.</t>
  </si>
  <si>
    <t>Exactly one commit at first 
HREADYOUT=1; HRESP=OKAY.</t>
  </si>
  <si>
    <t>AMBA 5 AHB; Scoreboard</t>
  </si>
  <si>
    <t>Single READ</t>
  </si>
  <si>
    <t>One-beat read with zero wait; 
HRDATA valid only when HREADYOUT=1.</t>
  </si>
  <si>
    <t>1) Preload model mem[A0]=D0.
2) T0: HTRANS=NONSEQ, HWRITE=0, HSIZE=cfg, HBURST=SINGLE, HADDR=A0.
3) T1: HRDATA=D0, HREADYOUT=1, HRESP=OKAY -&gt; sample.</t>
  </si>
  <si>
    <t>HRDATA sampled at HREADYOUT=1; 
equals D0; HRESP=OKAY.</t>
  </si>
  <si>
    <t>Wait-state 
insertion</t>
  </si>
  <si>
    <t>Slave stretches data phase using HREADYOUT=0; 
control/data stable while waited.</t>
  </si>
  <si>
    <t>1) Start SINGLE WRITE at A1 with D1.
2) DUT holds HREADYOUT=0 for N cycles; HRESP=OKAY.
3) Ensure HADDR/HTRANS/HWRITE/HSIZE/HBURST &amp; HWDATA stable.
4) On first HREADYOUT=1 -&gt; commit.
5) Repeat READ: HRDATA only valid at completion.</t>
  </si>
  <si>
    <t>No control change on wait; 
single commit at completion; read sampled only at completion.</t>
  </si>
  <si>
    <t>AMBA 5 AHB validity rules</t>
  </si>
  <si>
    <t>RAW simple 
(Write then Read)</t>
  </si>
  <si>
    <t>Write once then read back same location.</t>
  </si>
  <si>
    <t>1) SINGLE WRITE D2 to A2.
2) SINGLE READ A2.
3) Compare HRDATA==D2.</t>
  </si>
  <si>
    <t>Data read equals 
most recent write.</t>
  </si>
  <si>
    <t>Scoreboard</t>
  </si>
  <si>
    <t>t_raw_simple</t>
  </si>
  <si>
    <t>Transfer Types</t>
  </si>
  <si>
    <t>IDLE handling</t>
  </si>
  <si>
    <t>IDLE -&gt; OKAY &amp; ignored.</t>
  </si>
  <si>
    <t>1) Drive HTRANS=IDLE 4 cycles; toggle HADDR.
2) Expect HREADYOUT=1/HRESP=OKAY; no side-effects.</t>
  </si>
  <si>
    <t>Always OKAY on IDLE; no commit.</t>
  </si>
  <si>
    <t>AMBA 5 AHB</t>
  </si>
  <si>
    <t>t_idle_okay</t>
  </si>
  <si>
    <t>BUSY handling</t>
  </si>
  <si>
    <t>BUSY -&gt; OKAY &amp; ignored; 
no side-effects.</t>
  </si>
  <si>
    <t xml:space="preserve">
1) Insert BUSY between valid beats.
2) Ensure no commit on BUSY; control unchanged.</t>
  </si>
  <si>
    <t>OKAY on BUSY; 
no commit; control unchanged.</t>
  </si>
  <si>
    <t>t_busy_okay</t>
  </si>
  <si>
    <t>NONSEQ/SEQ 
legality</t>
  </si>
  <si>
    <t>NONSEQ first; 
SEQ for remaining; address increments by size.</t>
  </si>
  <si>
    <t>1) INCR4 write: T0 NONSEQ @A3; T1..T3 SEQ.
2) Expect addresses A3, A3+size, A3+2*size, A3+3*size.
3) Repeat with read &amp; waits.</t>
  </si>
  <si>
    <t>Legal sequence; 
address progression correct; commits==beats.</t>
  </si>
  <si>
    <t>INCR4/8/16</t>
  </si>
  <si>
    <t>Fixed-length 
incrementing bursts, 
exact beats &amp; legal timing.</t>
  </si>
  <si>
    <t>1) INCR4 write @A4; random waits; verify 4 commits; HTRANS NONSEQ then SEQx3.
2) Repeat INCR8/INCR16; commits==beats; address increments by size.</t>
  </si>
  <si>
    <t>Commits==beats; 
legal HTRANS; address increments.</t>
  </si>
  <si>
    <t>t_incr_fixed</t>
  </si>
  <si>
    <t>INCR 
(variable length)</t>
  </si>
  <si>
    <t>Undefined-length INCR; 
terminate with IDLE/NONSEQ.</t>
  </si>
  <si>
    <t>1) Start INCR; vary length 2..32.
2) Terminate with IDLE; restart NONSEQ; ensure no extra commit.</t>
  </si>
  <si>
    <t>Proper termination; 
no ghost commit; linear increment.</t>
  </si>
  <si>
    <t>WRAP4/8/16</t>
  </si>
  <si>
    <t>WRAP burst: HADDR wraps within boundary = (beats × transfer_size). 
Start address aligned to transfer_size (can be any offset within the boundary). 
Validate wrap math under wait-states (HREADYOUT=0) and back-to-back beats.</t>
  </si>
  <si>
    <t>Use TB burst wrapper/driver to generate WRAP4/8/16.
Directed examples (word/32b):
 - WRAP4, start=0x3C (boundary 16B, base=0x30): expect A = [0x3C,0x30,0x34,0x38].
 - WRAP4, start=0x34: expect A = [0x34,0x38,0x3C,0x30].
Repeat for WRAP8/16 and for HSIZE=byte/halfword/word with starts at {base, mid, last-aligned}.
Insert random wait-states; ensure address/control stability while stalled.</t>
  </si>
  <si>
    <t xml:space="preserve">For each accepted beat (HREADYOUT=1): 
commit exactly once; total commits==beats. </t>
  </si>
  <si>
    <t>AMBA 5 AHB 
wrap rules</t>
  </si>
  <si>
    <t>t_wrap</t>
  </si>
  <si>
    <t>Back-to-back 
pipelined transfers</t>
  </si>
  <si>
    <t>Address phase (n+1) 
overlaps data phase (n); no cross-talk.</t>
  </si>
  <si>
    <t>Case A (no wait):
1) T0: NONSEQ WRITE A0/D0.
2) T1: NONSEQ WRITE A1/D1.
3) T2: NONSEQ READ A0 -&gt; HRDATA==D0 at T3.
Case B (wait on first): 
hold first DP N cycles; check stability &amp; single commits.</t>
  </si>
  <si>
    <t>One commit per accepted transfer; 
correct read pairing.</t>
  </si>
  <si>
    <t>AMBA 5 AHB pipeline</t>
  </si>
  <si>
    <t>t_pipeline_b2b</t>
  </si>
  <si>
    <t>Waited 
Transitions</t>
  </si>
  <si>
    <t>IDLE→NONSEQ hold</t>
  </si>
  <si>
    <t>During wait, IDLE→NONSEQ 
allowed but must be held until completion.</t>
  </si>
  <si>
    <t>1) T0: IDLE; T1..T3: HREADYOUT=0.
2) Set NONSEQ at T1; hold constant until HREADYOUT=1.</t>
  </si>
  <si>
    <t>No toggling after NONSEQ while waited; 
accepted at first ready.</t>
  </si>
  <si>
    <t>AMBA 5 AHB wait rules</t>
  </si>
  <si>
    <t>t_hold_idle_to_nonseq</t>
  </si>
  <si>
    <t>BUSY 
(fixed-length)</t>
  </si>
  <si>
    <t>In fixed-length bursts only BUSY→SEQ is legal during wait.</t>
  </si>
  <si>
    <t>1) Start INCR4; insert BUSY under wait.
2) Attempt BUSY→IDLE/NONSEQ (illegal); ensure no commit.</t>
  </si>
  <si>
    <t>Only BUSY→SEQ occurs; 
no illegal state/commit.</t>
  </si>
  <si>
    <t>t_busy_fixed_rules</t>
  </si>
  <si>
    <t>BUSY 
(INCR undefined)</t>
  </si>
  <si>
    <t>In INCR, BUSY→{SEQ, IDLE, NONSEQ} allowed: 
SEQ continues; others terminate.</t>
  </si>
  <si>
    <t>1) Start INCR; under wait switch BUSY→SEQ (continue).
2) BUSY→IDLE/NONSEQ (terminate); no pending beat committed.</t>
  </si>
  <si>
    <t>Matches rule; 
no ghost commit.</t>
  </si>
  <si>
    <t>t_busy_incr_rules</t>
  </si>
  <si>
    <t>Address Change</t>
  </si>
  <si>
    <t>While IDLE 
(waited)</t>
  </si>
  <si>
    <t>While waited+IDLE, master may change HADDR; 
after NONSEQ, hold until completion.</t>
  </si>
  <si>
    <t>1) Wait with HTRANS=IDLE; vary HADDR.
2) Switch to NONSEQ; hold address until ready.</t>
  </si>
  <si>
    <t>HADDR changes only in IDLE; 
held after NONSEQ until ready.</t>
  </si>
  <si>
    <t>Error Response</t>
  </si>
  <si>
    <t>ERROR (two-cycle) 
&amp; Re-address</t>
  </si>
  <si>
    <t>ERROR is 2 cycles; 
during cycle-1 (low) master may change next address.</t>
  </si>
  <si>
    <t>1) INCR8 read; inject ERROR at beat k.
2) ERROR c1: HRESP=1 &amp; HREADYOUT=0; change next address.
3) ERROR c2: HRESP=1 &amp; HREADYOUT=1; error completes.
4) Next transfer uses new address; burst aborted.
5) On read-ERROR, HRDATA=0 (recommended).</t>
  </si>
  <si>
    <t>Exact 2-cycle ERROR; 
no extra commit; legal recovery next transfer.</t>
  </si>
  <si>
    <t>AMBA 5 AHB ERROR 
timing</t>
  </si>
  <si>
    <t>t_error_2cyc</t>
  </si>
  <si>
    <t>Unsupported 
region/size -&gt; ERROR</t>
  </si>
  <si>
    <t>Unsupported address/size 
must respond safely (typically 2-cycle ERROR).</t>
  </si>
  <si>
    <t>1) Choose unimplemented A_bad or unsupported HSIZE.
2) SINGLE READ -&gt; 2-cycle ERROR.
3) SINGLE WRITE -&gt; 2-cycle ERROR; no memory update.
4) Next legal NONSEQ succeeds.</t>
  </si>
  <si>
    <t>2-cycle ERROR; 
no side-effects; bus recovers.</t>
  </si>
  <si>
    <t xml:space="preserve">AMBA 5 AHB; </t>
  </si>
  <si>
    <t>t_error_unsupported</t>
  </si>
  <si>
    <t>Integration</t>
  </si>
  <si>
    <t>HSEL inactive</t>
  </si>
  <si>
    <t>When HSEL=0, 
slave must not respond/commit.</t>
  </si>
  <si>
    <t>1) HSEL=0; drive NONSEQ.
2) No commit/HRDATA; HREADYOUT=1; HRESP per integration policy (usually OKAY).</t>
  </si>
  <si>
    <t>No side-effects when unselected; 
legal protocol.</t>
  </si>
  <si>
    <t>Integration policy</t>
  </si>
  <si>
    <t>t_hsel_inactive</t>
  </si>
  <si>
    <t>Transfer Size 
&amp; Lanes</t>
  </si>
  <si>
    <t>HSIZE 8/16/32(/64)</t>
  </si>
  <si>
    <t>Correct lane enables (HWSTRB) 
from HSIZE+HADDR; byte-invariant behavior.</t>
  </si>
  <si>
    <t>1) Sweep HSIZE &amp; alignments.
2) WRITE: compute expected lane mask; write pattern; READ back full word; compare masked model.
3) READ: returned data corresponds to addressed lanes.</t>
  </si>
  <si>
    <t>Lane mask matches expected; 
images match model.</t>
  </si>
  <si>
    <t>AMBA 5 AHB write 
strobes</t>
  </si>
  <si>
    <t>t_size_lanes</t>
  </si>
  <si>
    <t>unaligned</t>
  </si>
  <si>
    <t>cận biên</t>
  </si>
  <si>
    <t xml:space="preserve">nếu đặt addr là 1, thì 4 thằng cuối là 1, </t>
  </si>
  <si>
    <t>HWDATA = random
HADDR = random (&gt; 0x00 &amp;&amp; &lt; 0xFFFF)</t>
  </si>
  <si>
    <t>Exactly one commit at first 
HREADYOUT=1; HRESP=OKAY.
D0 = mem[A0]</t>
  </si>
  <si>
    <t>HWDATA = random
HADDR = 0xFFFF</t>
  </si>
  <si>
    <t>One-beat write with zero wait and address is 0xFFFF</t>
  </si>
  <si>
    <t>1) HTRANS = NONSEQ, HWRITE = 1,  HISZE = cfg, HBURST = SINGLE, HADDR = 0xFFFF, HWDATA =D0.
2) HREADYOUT = 1 &amp; HREP = OKAY.
3) Check D0 = mem[HADDR] ?</t>
  </si>
  <si>
    <t>Exactly one commit at first 
HREADYOUT=1; HRESP=OKAY.
D0 = mem[HADDR]</t>
  </si>
  <si>
    <t>HWDATA = random
HADDR = 0x00</t>
  </si>
  <si>
    <t>One-beat write with zero wait and address is 0x00</t>
  </si>
  <si>
    <t>1) HTRANS = NONSEQ, HWRITE = 1,  HISZE = cfg, HBURST = SINGLE, HADDR = 0x00, HWDATA = D0.
2) HREADYOUT = 1 &amp; HREP = OKAY.
3) Check D0 with mem[HADDR].</t>
  </si>
  <si>
    <t>HADDR = random (&gt; 0x00 &amp;&amp; &lt; 0xFFFF)</t>
  </si>
  <si>
    <t>HRDATA sampled at HREADYOUT=1; 
equals D0 and equal to mem[HADDR]; HRESP=OKAY.</t>
  </si>
  <si>
    <t>HADDR = 0xFFFF</t>
  </si>
  <si>
    <t>1) HTRANS = NONSEQ, HWRITE = 0,  HISZE = cfg, HBURST = SINGLE, HADDR = 0xFFFF.
2) HREADYOUT = 1 &amp; HREP = OKAY.
3) Check mem[HADDR] = D0 = HRDATA</t>
  </si>
  <si>
    <t>HADDR = 0x00</t>
  </si>
  <si>
    <t>1) HTRANS = NONSEQ, HWRITE = 0,  HISZE = cfg, HBURST = SINGLE, HADDR = 0x00
2) HREADYOUT = 1 &amp; HREP = OKAY.
3) Check mem[HADDR] = D0 = HRDATA</t>
  </si>
  <si>
    <t xml:space="preserve">HADDR = random </t>
  </si>
  <si>
    <t>HADDR = random</t>
  </si>
  <si>
    <t>IDLE -&gt; SEQ</t>
  </si>
  <si>
    <t>The first transfer type init is IDLE and then HTRANS change to SEQ</t>
  </si>
  <si>
    <t>1) Drive HTRANS = IDLE at first cycle
2) Next we change HTRANS from IDLE to SEQ
3) Check HRESP and HREADY</t>
  </si>
  <si>
    <t>illegal to change HTRANS from IDLE to SEQ. HRESP = ERROR</t>
  </si>
  <si>
    <t>IDLE -&gt;  another type (except SEQ)</t>
  </si>
  <si>
    <t>The first transfer type init is IDLE and then HTRANS change to another type (except SEQ). If we change to NONSEQ, it mean start new transfer. But if it change to BUSY, it still no transfer is processed</t>
  </si>
  <si>
    <t>1) Drive HTRANS = IDLE at first cycle
2) Next we change HTRANS from IDLE NONSEQ/BUSY
3) Check HRESP and HREADY</t>
  </si>
  <si>
    <t>HRESP = OKAY and HREADY = 1</t>
  </si>
  <si>
    <t>HADDR = random 
HBURST = SINGLE</t>
  </si>
  <si>
    <t>HADDR no changes after BUSY -&gt; SEQ</t>
  </si>
  <si>
    <t>HADDR changes after BUSY -&gt; SEQ</t>
  </si>
  <si>
    <t xml:space="preserve">Change the HTRANS from BUSY to SEQ after 1 cycle. </t>
  </si>
  <si>
    <t>1) First at cycle T0 we set HTRANS is NONSEQ  and HBUST is SINGLE to implement single transfer.
2) At cycle T1, we set HTRANS to BUSY. There is no transfer in this cycle.
3) Next cycle, we change HTRANS to SEQ 
4) Check HRESP and HREADY and check mem[HADDR] with HWDATA if it is write transfer and mem[HADDR] with HRDATA if it read transfer</t>
  </si>
  <si>
    <t>At cycle T1 the HRESP is 0 (OK) and it still 0 at cycle T1. At cycle T2, the HTRANS is change to SEQ, but this is a SINGLE transfer so HRESP is set to 1 (ERROR)</t>
  </si>
  <si>
    <t>HADDR = random and no change
HBURST = INCR4/8/16 or WRAP4/8/16</t>
  </si>
  <si>
    <t>HTRANS changes from BUSY -&gt; SEQ.
HBUST no change after BUSY -&gt; SEQ</t>
  </si>
  <si>
    <t>Change the HTRANS from BUSY to SEQ and HBURST is no change</t>
  </si>
  <si>
    <t>1) First at cycle T0 we set HTRANS is NONSEQ  and HBUST is INCR or WRAP to implement burst transfer
2) At cycle T1, we set HTRANS to BUSY. There is no transfer in this cycle.
3) Next cycle, we change HTRANS to SEQ 
4) Check HRESP and HREADY and check mem[HADDR] with HWDATA if it is write transfer and mem[HADDR] with HRDATA if it read transfer</t>
  </si>
  <si>
    <t>HRESP = OK and HREAYOUT = 1; mem[HADDR] = HWDATA if it is write transfer and mem[HADDR] = HRDATA if it read transfer</t>
  </si>
  <si>
    <t>HTRANS changes from BUSY -&gt; SEQ.
HBUST change after BUSY -&gt; SEQ</t>
  </si>
  <si>
    <t>Change the HTRANS from BUSY to SEQ and HBURST change to another type except INCR and SINGLE</t>
  </si>
  <si>
    <t>1) At the first cycle (T0) we set HTRANS is NONSEQ to start a transfer.
2) Then (T1) we change HTRANS to BUSY. At this cycle there is no transfer implemented
3) Next cycle we change HTRANS to SEQ. The burst transfer is continued. 
4) Check HRESP and HREADY and check mem[HADDR] with HWDATA if it is write transfer and mem[HADDR] with HRDATA if it read transfer</t>
  </si>
  <si>
    <t>HADDR = random and no change
HBURST = random except SINGLE</t>
  </si>
  <si>
    <t>HTRANS changes from BUSY -&gt; NONSEQ.
HBUST no change after BUSY -&gt; NONSEQ</t>
  </si>
  <si>
    <t>Change the HTRANS from BUSY to NONSEQ and HBURST is no change</t>
  </si>
  <si>
    <t>1) At the first cycle (T0) we set HTRANS is NONSEQ to start a transfer.
2) Then (T1) we change HTRANS to BUSY. At this cycle there is no transfer implemented
3) Next cycle we change HTRANS to NONSEQ. The old transfer is ended, the new  transfer is begined with new address but the same burst type
4) Check HRESP and HREADY and check mem[HADDR] with HWDATA if it is write transfer and mem[HADDR] with HRDATA if it read transfer</t>
  </si>
  <si>
    <t>HTRANS changes from BUSY -&gt; NONSEQ.
HBUST change after BUSY -&gt; NONSEQ</t>
  </si>
  <si>
    <t>Change the HTRANS from BUSY to NONSEQ and HBURST change to another type</t>
  </si>
  <si>
    <t>1) At the first cycle (T0) we set HTRANS is NONSEQ to start a transfer.
2) Then (T1) we change HTRANS to BUSY. At this cycle there is no transfer implemented
3) Next cycle we change HTRANS to NONSEQ. The old burst transfer end, the new burst transfer begin.
4) Check HRESP and HREADY and check mem[HADDR] with HWDATA if it is write transfer and mem[HADDR] with HRDATA if it read transfer</t>
  </si>
  <si>
    <t>HADDR = random at first beat transfer</t>
  </si>
  <si>
    <t>After that NONSEQ -&gt; SEQ</t>
  </si>
  <si>
    <t>Always NONSEQ</t>
  </si>
  <si>
    <t>Transfer type is NONSEQ throughout the transmission process</t>
  </si>
  <si>
    <t>1) Insert HTRANS = NONSEQ and no change
2) Master and slave implement Single transfer with random address and random data.
3) Check HRESP and check mem[HADDR] with HWDATA if it is write transfer and mem[HADDR] with HRDATA if it read transfer</t>
  </si>
  <si>
    <t>NONSEQ -&gt; IDLE</t>
  </si>
  <si>
    <t>NONSEQ first, the first transfer is still implemented; next cycle we change HTRANS to IDLE . The slave don't implement any transfer</t>
  </si>
  <si>
    <t>1) First, the HTRANS is NONSEQ to start a trasfer.
2) Next cycle we change HTRANS to IDLE. It mean there are no transfer between master and slave.
3) Check HRESP and HREADYOUT</t>
  </si>
  <si>
    <t>HRESP = OK and HREAYOUT = 1</t>
  </si>
  <si>
    <t>NONSEQ -&gt; BUSY</t>
  </si>
  <si>
    <t>NONSEQ first, the first transfer is still implemented; next cycle we change HTRANS to BUSY. The slave don't implement any transfer</t>
  </si>
  <si>
    <t>1) First, the HTRANS is NONSEQ to start a trasfer.
2) Next cycle we change HTRANS to BUSY. It mean there are no transfer between master and slave.
3) Check HRESP and HREADYOUT</t>
  </si>
  <si>
    <t>HRESP = OKAY and HREADYOUT = 1</t>
  </si>
  <si>
    <t>HADDR = random
HBURST = INCR or INCR4/8/16 or WRAP4/8/15</t>
  </si>
  <si>
    <t>Always HTRANS = SEQ</t>
  </si>
  <si>
    <t>First the HTRANS is set NONSEQ to start a transfer then HTRANS is set to SEQ and no change later</t>
  </si>
  <si>
    <t xml:space="preserve">1) First, the HTRANS is NONSEQ to start a trasfer.
2) Next cycle we change HTRANS to SEQ.
3) Check HRESP; HREADYOUT and check mem[HADDR] with HWDATA if it is write transfer and mem[HADDR] with HRDATA if it read transfer </t>
  </si>
  <si>
    <t>HADDR = random
HBURST = INCR or INCR4/8/16 or WRAP4/8/16</t>
  </si>
  <si>
    <t>HTRANS change from SEQ to IDLE</t>
  </si>
  <si>
    <t>NONSEQ first, the first transfer is still implemented; then we change HTRANS to SEQ to implement burst transfer for 1 cycle, next we change HTRANS again to IDLE for 1-2 cycle. At this cycle, there are no transfer processed</t>
  </si>
  <si>
    <t xml:space="preserve">1) First, the HTRANS is NONSEQ to start a trasfer.
2) Next cycle we change HTRANS to SEQ.
3) Then we change HTRANS again to IDLE.
4) Finally check HRESP; HREADYOUT </t>
  </si>
  <si>
    <t>HADDR = random
HBURST = random</t>
  </si>
  <si>
    <t>HTRANS change from SEQ to BUSY</t>
  </si>
  <si>
    <t>NONSEQ first, the first transfer is still implemented; then we change HTRANS to SEQ to implement burst transfer for 1 cycle, next we change HTRANS again to BUSY for 1-2 cycle. At this cycle, there are no transfer processed. But HREADY always is 1 and HREPS always is 0 (OKAY)</t>
  </si>
  <si>
    <t xml:space="preserve">1) First, the HTRANS is NONSEQ to start a trasfer.
2) Next cycle we change HTRANS to SEQ.
3) Then we change HTRANS again to BUSY.
4) Finally check HRESP; HREADYOUT </t>
  </si>
  <si>
    <t>HTRANS change from SEQ to NONSEQ</t>
  </si>
  <si>
    <t>NONSEQ first, the first transfer is still implemented; then we change HTRANS to SEQ to implement burst transfer for 1 cycle. Next we change HTRANS again to NONSEQ, so there is new transfer is started</t>
  </si>
  <si>
    <t>1) First, the HTRANS is NONSEQ to start a trasfer.
2) Next cycle we change HTRANS to SEQ.
3) Then we change HTRANS again to NONSEQ.
4) Finally check HRESP; HREADYOUT and check mem[HADDR] with HWDATA if it is write transfer and mem[HADDR] with HRDATA if it read transfer</t>
  </si>
  <si>
    <t>HADDR = 0xFF.
HSIZE = random</t>
  </si>
  <si>
    <t>INCR 
(undefined length)</t>
  </si>
  <si>
    <t>Reset &amp; clock</t>
  </si>
  <si>
    <t>1. Cold reset</t>
  </si>
  <si>
    <t>AHB reset behavior: while HRESETn=0, interface is forced to benign idle; outputs are stable (no X/Z), HTRANS=IDLE, HREADYOUT=1, HRESP=OKAY.</t>
  </si>
  <si>
    <t>1) Assert HRESETn=0 for ≥3 cycles.
2) During reset: expect HREADYOUT=1, HRESP=OKAY; no spurious HRDATA; HTRANS=IDLE.
3) Deassert reset sync with HCLK.
4) Observe N cycles: outputs stable; no phantom commit.
5) Issue one SINGLE READ to confirm bus operational.</t>
  </si>
  <si>
    <t>During reset: HREADYOUT=1 / HRESP=OKAY.
After reset: no X/Z; no unintended commits; first legal transfer OKAY.</t>
  </si>
  <si>
    <t>2. Mid-burst reset</t>
  </si>
  <si>
    <t>Recovery with NONSEQ</t>
  </si>
  <si>
    <t>If reset is asserted during an active burst, the burst is aborted and the slave returns to IDLE. After deassertion, the first valid access must start with NONSEQ.</t>
  </si>
  <si>
    <t>1) Start INCR4 write (or read): NONSEQ @A0, then SEQ.
2) In the data phase of beat2, assert HRESETn=0 asynchronously.
3) DUT returns to reset defaults (no further commit).
4) Deassert reset; issue SINGLE NONSEQ.
5) Ensure no residual side‑effects before reset.</t>
  </si>
  <si>
    <t>No stuck signals; no partial/ghost commit at the interrupted beat.
Burst does not resume after reset.
First legal access post‑reset is NONSEQ and OKAY.</t>
  </si>
  <si>
    <t>3. Reset during wait</t>
  </si>
  <si>
    <t>When reset is asserted during a wait (HREADYOUT=0), 
reset overrides the stall. There must be no commit for the in‑flight waited transfer; after deassertion, the next valid access must start with NONSEQ.</t>
  </si>
  <si>
    <t>1) Start SINGLE WRITE; DUT holds HREADYOUT=0 for N cycles (stall).
2) While waited, assert HRESETn=0.
3) Deassert reset; then issue READ @A1 (NONSEQ).
4) Confirm no commit occurred for the stalled write.</t>
  </si>
  <si>
    <t>No commit for the in‑flight waited transfer.
Outputs return to reset defaults; no X/Z.
Subsequent legal transfers start with NONSEQ and pass with OKAY.</t>
  </si>
  <si>
    <t>1. Single WRITE with wait‑states</t>
  </si>
  <si>
    <t>Non‑boundary address</t>
  </si>
  <si>
    <t>HWDATA = D0 = random
HADDR = 0x1000
wait_state: random 0–N cycles</t>
  </si>
  <si>
    <t>Verify SINGLE write at a regular address, allowing random wait‑states.</t>
  </si>
  <si>
    <t>1) T0 – Address phase: HTRANS=NONSEQ, HWRITE=1, HSIZE=cfg, HBURST=SINGLE, HADDR=0x1000, HWDATA=D0.
2) Data phase
     + Slave drives random wait‐states:HREADYOUT = 0 for k cycles (0 ≤ k ≤ N).
     + At first HREADYOUT=1: HRESP=OKAY → commit D0 into memory.
3) Post‑check: mem[0x1000] == D0.</t>
  </si>
  <si>
    <t>Exactly 1 commit at first HREADYOUT=1.
HRESP=OKAY.
mem[0x1000] == D0.</t>
  </si>
  <si>
    <t>Upper boundary address</t>
  </si>
  <si>
    <t>HWDATA = D0 = random
HADDR = 0xFFFF 
wait_state: random 0–N cycles</t>
  </si>
  <si>
    <t>Test SINGLE write at the highest address.
DUT allows partial‑lane access → OKAY.</t>
  </si>
  <si>
    <t>1) Address phase: HTRANS=NONSEQ, HWRITE=1, HSIZE=cfg, HBURST=SINGLE.
2) Data phase:
     + Random stall cycles where HREADYOUT=0.
     + At first HREADYOUT=1 → HRESP=OKAY → 1‑beat commit.
3) Post‑check
     + Only byte‑lanes inside memory range [0xFFFF] are updated.
     + Checker masks lanes using (HSIZE + HADDR).</t>
  </si>
  <si>
    <t>HRESP=OKAY.
Only valid lanes updated.</t>
  </si>
  <si>
    <t>Lower boundary address</t>
  </si>
  <si>
    <t>HWDATA = D0 = random
HADDR = 0x0000
wait_state: random 0–N cycles</t>
  </si>
  <si>
    <t>One‑beat write at the lowest valid address.</t>
  </si>
  <si>
    <t>1) Address phase: NONSEQ, WRITE, HBURST=SINGLE, HADDR=0x0000.
2) Data phase:
     + Slave may insert HREADYOUT=0 for k cycles.
     + Commit when HREADYOUT=1.
3) Post‑check: mem[0x0000] == D0.</t>
  </si>
  <si>
    <t>HRESP=OKAY.
Exactly one commit.
mem[0x0000] == D0.</t>
  </si>
  <si>
    <t>2. Single READ with wait‑states</t>
  </si>
  <si>
    <t>HADDR = 0x1000
Preload: mem[0x0000] = D0 (given default model value).
wait_state: random 0–N cycles</t>
  </si>
  <si>
    <t>Read with zero wait; 
HRDATA valid only when HREADYOUT=1.</t>
  </si>
  <si>
    <t xml:space="preserve">1) T0 (Address phase): HTRANS=NONSEQ, HWRITE=0, HSIZE=cfg, HBURST=SINGLE, HADDR=0x1000.
2) Random stall cycles. At first HREADYOUT=1 → HRDATA = D0; HRESP=OKAY </t>
  </si>
  <si>
    <t>HRDATA sampled at HREADYOUT=1.
HRDATA == D0.
HRESP=OKAY.</t>
  </si>
  <si>
    <t>HADDR = 0xFFFF
Preload: mem[0x0000] = D0 (given default model value).
wait_state: random 0–N cycles</t>
  </si>
  <si>
    <t>Read with zero wait; Read at boundary address;
HRDATA valid only when HREADYOUT=1.
For HSIZE &gt; 1, byte‑lane window cross boundary</t>
  </si>
  <si>
    <t xml:space="preserve">1) T0 (Address phase): HTRANS=NONSEQ, HWRITE=0, HSIZE=cfg, HBURST=SINGLE, HADDR=0x1000.
2) Random stall cycles. At first HREADYOUT=1 → HRDATA = masked value at boundary; HRESP=OKAY </t>
  </si>
  <si>
    <t>HRDATA sampled at HREADYOUT=1; 
Lane masking logic correct.
HRESP=OKAY.</t>
  </si>
  <si>
    <t>HADDR = 0x0000
Preload: mem[0x0000] = D0 (given default model value).
wait_state: random 0–N cycles</t>
  </si>
  <si>
    <t>One-beat read with zero wait at the lowest valid address.; 
HRDATA valid only when HREADYOUT=1.</t>
  </si>
  <si>
    <t>3. Multiple transfers</t>
  </si>
  <si>
    <t>Non‑boundary address (Pipeline Overlap - Address phase n+1 overlaps Data phase n)</t>
  </si>
  <si>
    <t>HWDATA = D0 = random
HADDR = constraint random (excluding memory boundary)
wait_state = random 0–N cycles</t>
  </si>
  <si>
    <t>Verify correct behavior when multiple consecutive transfers are issued in a non‑boundary region, where the address phase of transfer (n+1) overlaps with the data phase of transfer n.
Ensure that wait‑states, address updates, and control signals do not cause cross‑talk or corruption between transfers.</t>
  </si>
  <si>
    <t>1) Issue a first transfer using HTRANS = NONSEQ.
2) Stall the data phase for N cycles by driving HREADYOUT = 0.
3) While stalled, drive the next transfer's address phase (HTRANS = SEQ/NONSEQ) without overwriting the stalled data phase.
4) When HREADYOUT returns to 1, exactly one commit occurs for transfer n.
5) Transfer n+1 continues normally after the stall.</t>
  </si>
  <si>
    <t>Exactly one commit per accepted transfer.
Address/control of transfer n+1 must not overwrite stalled data phase of transfer n.
No lane/data corruption between transfers.
All HRESP responses must remain legal for each cycle</t>
  </si>
  <si>
    <t>Transfer Size &amp; Lane Enable</t>
  </si>
  <si>
    <t>1. Aligned Access</t>
  </si>
  <si>
    <t>Correct Lane Mask (HWSTRB)</t>
  </si>
  <si>
    <t>Verify correct lane‑enable behavior for aligned accesses across all supported transfer sizes.
Ensure HWSTRB mask strictly follows (HSIZE + aligned HADDR) and only the addressed byte‑lanes are updated/returned.
Check correct behavior under optional wait states and optional INCR bursts (all beats aligned).</t>
  </si>
  <si>
    <t>1) Sweep all supported HSIZE = 8/16/32.
2) For each HSIZE, generate HADDR = aligned_addr (no unaligned allowed).
3) WRITE phase
     + Drive NONSEQ WRITE with aligned A0 and pattern D0.
     + Compute expected lane mask (exp_mask) from HSIZE + address alignment.
     + Update reference memory model accordingly (only masked lanes modified).
4) READ‑back phase
     + Issue READ(s) to same address(es).
     + Compare HRDATA against masked reference model.</t>
  </si>
  <si>
    <t>HRESP = OKAY for all beats.
All generated HADDR values satisfy required alignment for their HSIZE.
DUT lane‑mask (HWSTRB behavior) must match exp_mask exactly.
WRITE: only masked lanes updated in memory model; others unchanged.
READ: (HRDATA &amp; exp_mask) == (ref_data &amp; exp_mask).
No corruption on non‑addressed lanes.</t>
  </si>
  <si>
    <t>1. ERROR (two-cycle) 
&amp; Re-address</t>
  </si>
  <si>
    <t>next = NONSEQ</t>
  </si>
  <si>
    <t>On injected error, slave returns 2‑cycle ERROR: c1=HRESP=ERROR,HREADYOUT=0 (hold addr/ctrl/data), c2=HRESP=ERROR,HREADYOUT=1 (error completes); burst aborts; next legal transfer must start with NONSEQ at new address.</t>
  </si>
  <si>
    <t>1) Run READ (add WRITE variant) INCRx; inject ERROR at beat k.
2) c1: expect ERROR+HREADYOUT=0; hold HADDR/HTRANS/HSIZE/HWRITE/HWDATA.
3) c2: expect ERROR+HREADYOUT=1; burst aborted.
4) Next cycle: issue NONSEQ with new address; continue normally.
5) READ case: ignore/zero‑mask HRDATA in error cycles (per env policy).
6) WRITE case: ensure no memory update at errored beat.</t>
  </si>
  <si>
    <t>Exact 2‑cycle timing: ERROR@c1(HREADYOUT=0) → ERROR@c2(HREADYOUT=1).
No re‑address while HREADYOUT=0; signals stable in c1.
No commit on errored beat; no duplicate/late commit after c2.
Burst aborts; no continuation of old burst.
Recovery legal: next transfer is NONSEQ and proceeds HRESP=OKAY.</t>
  </si>
  <si>
    <t>2. Unsupported 
region/size 
=&gt; ERROR</t>
  </si>
  <si>
    <t>Memory Access</t>
  </si>
  <si>
    <t>Boundary Check</t>
  </si>
  <si>
    <t>Verify that the slave prevents any 
READ/WRITE outside the valid memory range (MEMORY_DEPTH).</t>
  </si>
  <si>
    <t>1) Drive a valid NONSEQ transfer with HADDR ≥ MEMORY_DEPTH.
2) Hold valid HWRITE/HSIZE/HTRANS.
3) Slave returns a 2‑cycle ERROR (HRESP=1, HREADYOUT=0 → 1).
4) Master re-addresses the next transfer.
5) Verify no memory update occurred.
6) For read-error: HRDATA = 0 (recommended).</t>
  </si>
  <si>
    <t>The slave must ignore the transfer and must 
NOT update memory or return invalid data when the access address exceeds MEMORY_DEPTH - 1.</t>
  </si>
  <si>
    <t>t_access_out_of_bounds</t>
  </si>
  <si>
    <t>Invalid Transfer Size</t>
  </si>
  <si>
    <t>Verify how the slave handles invalid 
HSIZE values (unsupported size, illegal coding).</t>
  </si>
  <si>
    <t>1) Issue a NONSEQ transfer with an unsupported or illegal HSIZE value.
2) Keep address within valid range.
3) Slave responds per design: ERROR or auto‑downgrade to byte access.
4) If ERROR: check exact 2-cycle behavior.
5) Ensure no X or stale values on HRDATA.
6) For read-error: HRDATA = 0.</t>
  </si>
  <si>
    <t>Slave must return a defined, legal response 
(e.g., defaulting to byte access or asserting ERROR) and must not produce X or stale values.</t>
  </si>
  <si>
    <t>t_invalid_hsize</t>
  </si>
  <si>
    <t>Access Handling</t>
  </si>
  <si>
    <t>Unaligned Access</t>
  </si>
  <si>
    <t>Verify slave behavior when the address 
is unaligned relative to HSIZE.</t>
  </si>
  <si>
    <t>1) Send a NONSEQ transfer with HADDR not aligned to HSIZE.
2) Slave response: return ERROR, or auto-align address and mask lanes.
     + If ERROR: verify 2‑cycle ERROR timing.
     + If auto-align: check correct lane masking and no unintended memory writes.
     + For read-error: HRDATA = 0.</t>
  </si>
  <si>
    <t>Slave must handle unaligned cases correctly (depending on design):
+ return ERROR, or
+ internally align the address and mask lanes properly.</t>
  </si>
  <si>
    <t>t_unaligned_access</t>
  </si>
  <si>
    <t>Transfer Types
(HTRANS Transition Handling)</t>
  </si>
  <si>
    <t>1) IDLE handling</t>
  </si>
  <si>
    <t>1) IDLE Cycle</t>
  </si>
  <si>
    <t>IDLE → IDLE</t>
  </si>
  <si>
    <t>Verify that when the bus remains IDLE (IDLE followed by IDLE), the slave does not start any transfer, returns a benign response, and produces no side‑effects regardless of HADDR/HWRITE/HSIZE toggling.</t>
  </si>
  <si>
    <t>1) Drive HTRANS = IDLE for multiple cycles; freely toggle HADDR (and optionally HWRITE/HSIZE).
2) Expect HREADYOUT=1/HRESP=OKAY; no side-effects.</t>
  </si>
  <si>
    <t>HRESP = OKAY; HREADYOUT = 1
No transfer is accepted/committed</t>
  </si>
  <si>
    <t>2) Start/Busy Cycles from IDLE</t>
  </si>
  <si>
    <t>IDLE →  NONSEQ
IDLE → BUSY</t>
  </si>
  <si>
    <t>Validate legal transitions out of IDLE:
+ IDLE → NONSEQ: starts a new transfer (first beat).
+ IDLE → BUSY: inserts a busy placeholder (no transfer).
=&gt; Ensure the slave accepts a valid NONSEQ start and ignores BUSY correctly without unintended commits.</t>
  </si>
  <si>
    <t>A) Start case (IDLE → NONSEQ)
Cycle 0: HTRANS = IDLE.
Cycle 1: HTRANS = NONSEQ, drive valid HADDR, HWRITE/HSIZE, and data (if write).
Optionally insert HREADYOUT waits; continue with SEQ for subsequent beats (if doing a burst).
B) Busy case (IDLE → BUSY)
Cycle 0: HTRANS = IDLE.
Cycle 1: HTRANS = BUSY, hold a benign address/control.
Observe that no transfer is taken; return to IDLE or move to a valid start later.</t>
  </si>
  <si>
    <t>IDLE → NONSEQ: transfer is accepted per protocol; HRESP = OKAY (no error), address/control sampled; normal data/response timing (subject to HREADYOUT).
IDLE → BUSY: no transfer is processed; HRESP = OKAY, no commit, no memory side effects.
No ERROR is signaled for these legal transitions; no unintended state change or data corruption.</t>
  </si>
  <si>
    <t>3) Illegal Sequence</t>
  </si>
  <si>
    <t>Verify that when the master drives SEQ immediately after IDLE, the slave correctly treats it as an illegal transition (because SEQ is only valid as a continuation of an active burst following a NONSEQ).</t>
  </si>
  <si>
    <t>1) Cycle 0: drive HTRANS = IDLE.
2) Cycle 1: change HTRANS = SEQ while driving arbitrary HADDR, HWRITE, HSIZE.
3) Check HRESP and HREADY</t>
  </si>
  <si>
    <t>Slave returns HRESP = ERROR (typically 2‑cycle error)
No transfer started, no memory updates, no HRDATA side effects.</t>
  </si>
  <si>
    <t>2) BUSY handling</t>
  </si>
  <si>
    <t>HADDR no changes after 
BUSY -&gt; SEQ</t>
  </si>
  <si>
    <t xml:space="preserve">BUSY → SEQ </t>
  </si>
  <si>
    <t>Continue active burst</t>
  </si>
  <si>
    <t>SEQ after BUSY is legal only if a burst is already active (previously NONSEQ/SEQ). BUSY itself does not commit and does not start a transfer.</t>
  </si>
  <si>
    <t>1) Start a burst: NONSEQ @A0 (aligned), then SEQ @A1.
2) Insert BUSY for 1 cycle.
3) Next cycle drive SEQ @A2.
4) (Optional) Add stalls; verify address progression, lane mapping, wrap rules stay intact.</t>
  </si>
  <si>
    <t>If burst active → HRESP=OKAY; no commit/HRDATA on BUSY; beat at SEQ commits when HREADYOUT=1.
If no active burst before BUSY → transition BUSY→SEQ is illegal → HRESP=ERROR; no commit, slave waits for a NONSEQ.</t>
  </si>
  <si>
    <t>BUSY → NONSEQ</t>
  </si>
  <si>
    <t>BUSY → NONSEQ (SINGLE/INCR)</t>
  </si>
  <si>
    <t>BUSY consumes no transfer. The first real transfer starts at the following NONSEQ; HBURST is latched at NONSEQ.</t>
  </si>
  <si>
    <t>1) Drive BUSY at T0 (benign address/control).
2) At T1, drive NONSEQ @A0, HBURST ∈ {SINGLE, INCR}, HSIZE = cfg, aligned.
3) WRITE: check one commit for the T1 beat when HREADYOUT=1. READ: check HRDATA pairing for that beat.
4) (Optional) Continue with SEQ beats for INCR.</t>
  </si>
  <si>
    <t>HRESP=OKAY on NONSEQ; no commit/HRDATA on BUSY.
HBURST change only takes effect at NONSEQ (not at BUSY).
Address/lanes correct; each beat commits only when HREADYOUT=1.</t>
  </si>
  <si>
    <t>BUSY → NONSEQ (WRAP)</t>
  </si>
  <si>
    <t>BUSY must not affect wrap computation. NONSEQ after BUSY starts a new WRAP burst using proper wrap_base and window size.
Change the HTRANS from BUSY to SEQ and HBURST is no change</t>
  </si>
  <si>
    <t>1) Drive BUSY at T0, change HBURST while BUSY.
2) At T1, drive NONSEQ @A0, HBURST=WRAP{4/8/16}, A0 aligned to HSIZE.
3) Drive SEQ beats; optionally insert stalls.
4) Check address progression, wrap point, and lane mapping.</t>
  </si>
  <si>
    <t>HRESP=OKAY; no commit/HRDATA on BUSY.
Correct wrap_base/window per formulas; wrap point correct; lanes correct each beat.
Beats commit when HREADYOUT=1; no mis‑pairing of read data.</t>
  </si>
  <si>
    <t>3) NONSEQ</t>
  </si>
  <si>
    <t>4) SEQ</t>
  </si>
  <si>
    <t>INCR4/8/16 - Fixed-length</t>
  </si>
  <si>
    <t xml:space="preserve"> Non‑boundary</t>
  </si>
  <si>
    <t>HADDR = 0x1000
HSIZE = cfg
HBURST = INCR4/INCR8/INCR16
HWRITE = 1</t>
  </si>
  <si>
    <t>Verify fixed‑length incrementing bursts at a normal (non‑boundary) address: legal HTRANS sequence, exact number of commits, and address increments by HSIZE.</t>
  </si>
  <si>
    <t>1) T0 (Address phase): Start the burst with HTRANS=NONSEQ, HWRITE=1, HSIZE=cfg, HBURST=INCR4, HADDR=0x1000.
2) T1…: For remaining beats, drive HTRANS=SEQ; allow random wait states (HREADYOUT toggles).
3) Repeat for INCR8 and INCR16.</t>
  </si>
  <si>
    <t>Commits = burst length (4/8/16).
Legal HTRANS: NONSEQ → SEQ → … → SEQ.
Address increments by HSIZE on each committed beat.
HRESP=OKAY on all beats; no extra/missed commits.</t>
  </si>
  <si>
    <t>Upper boundary</t>
  </si>
  <si>
    <t>HADDR = 0xFFFF
HSIZE = cfg
HBURST = INCR4/INCR8/INCR16
HWRITE = 1</t>
  </si>
  <si>
    <t>Validate fixed‑length bursts starting at the highest boundary. Even if byte‑lanes/address range exceed the memory top, DUT permits access and returns OKAY. Only in‑range lanes are written each beat.</t>
  </si>
  <si>
    <t>1) T0: HTRANS=NONSEQ, HWRITE=1, HSIZE=cfg, HBURST=INCR4/8/16, HADDR=0xFFFF, HWDATA=D[i].
2) SEQ beats: Continue with HTRANS=SEQ; allow random wait states.
3) Scoreboard computes expected lane mask per (HSIZE, HADDR_current) and checks only in‑range lanes each beat.</t>
  </si>
  <si>
    <t>HRESP=OKAY on all beats.
Commits = burst length.
Address increments by HSIZE per committed beat (no wrap).
Only in‑range byte‑lanes are updated; lanes outside memory are ignored.
No extra commits beyond the programmed length.</t>
  </si>
  <si>
    <t>INCR - Undefined‑length Burst</t>
  </si>
  <si>
    <t>Non‑boundary</t>
  </si>
  <si>
    <t>HADDR = 0x1000
HSIZE = cfg
HBURST = INCR
HWRITE = 1</t>
  </si>
  <si>
    <t>Verify undefined‑length INCR burst: linear address increments, legal HTRANS sequence, correct termination, and no ghost commits after termination.</t>
  </si>
  <si>
    <t>1) Start with HTRANS=NONSEQ, HWRITE=1, HSIZE=cfg, HBURST=INCR, HADDR=0x1000.
2) Continue HTRANS=SEQ for a variable number of beats (e.g., 2…32) with random wait states.
3) Terminate by driving HTRANS=IDLE or NONSEQ (start of next transfer).</t>
  </si>
  <si>
    <t>For all committed beats: address increments by HSIZE, HRESP=OKAY.
Proper termination: no commits after the first IDLE/NONSEQ.
Legal HTRANS: NONSEQ → (SEQ)* → IDLE/NONSEQ.
No ghost/missed beats.</t>
  </si>
  <si>
    <t>Upper Boundary</t>
  </si>
  <si>
    <t>HADDR = 0xFFFF (upper boundary)
HADDR = near-boundary e.g., 0xFFFC (for crossing mid‑burst)
HSIZE = cfg
HBURST = INCR</t>
  </si>
  <si>
    <t xml:space="preserve">Combined upper-boundary tests:
+ INCR starting exactly at 0xFFFF
+ INCR starting near the boundary </t>
  </si>
  <si>
    <t>1) Start burst at:
     + Case A: HADDR=0xFFFF
     + Case B: HADDR=0xFFFC (or any near-boundary)
2) Continue 4–16 beats; allow random HREADYOUT stalls.
3) Scoreboard masks expected data using (HSIZE, HADDR_current).
4) Terminate with IDLE.</t>
  </si>
  <si>
    <t>HRESP=OKAY for all beats.
Address increments beyond range (no wrap).
Only in‑range byte‑lanes updated; out‑of‑range ignored.
Total commits equal accepted beats (HREADYOUT=1 cycles).
No unexpected termination.</t>
  </si>
  <si>
    <t>WRAP4 / WRAP8 / WRAP16</t>
  </si>
  <si>
    <t>HBURST = WRAP4 / WRAP8 / WRAP16
HSIZE = cfg
HADDR = aligned_addr (e.g., 0x1000; aligned to transfer size)
Address lies fully inside the wrap window, not near memory boundary
HWRITE = 1</t>
  </si>
  <si>
    <t>Verify that a WRAP burst starting at a naturally aligned address generates:
+ correct wrap‑base calculation
+ correct address increments per beat
+ correct wrap point
+ correct pipeline behavior (with optional wait states)</t>
  </si>
  <si>
    <t>1) Beat 0: Drive HTRANS = NONSEQ, HADDR = A0 (aligned), HBURST = WRAPx, HSIZE = cfg, HWRITE = 1, HWDATA = D0.
2) Beat 1 … (x‑1): Drive HTRANS = SEQ; Increment address by HSIZE; Allow random insertion of HREADYOUT waits.
3) When the next increment exceeds the wrap window: Address wraps to wrap_base.
4) Optionally continue 1 more wrap cycle to observe pipeline behavior.</t>
  </si>
  <si>
    <t>HRESP = OKAY for all beats.
Address always aligned to HSIZE.
Correct wrap window:
window_size = HSIZE × burst_length
Correct wrap base:
wrap_base = A0 &amp; ~(window_size - 1)
Correct wrap point when address hits end of window.
Data commits for the number of valid beats (write).</t>
  </si>
  <si>
    <t>Upper Boundary Region</t>
  </si>
  <si>
    <t>HADDR = 0xFFFF
HBURST = WRAP4/8/16
HSIZE = cfg</t>
  </si>
  <si>
    <t>Starting A0 at max address tests wrap inside wrap window while addresses may exceed physical memory.
AHB5: sliding window wrap, not memory boundary wrap.</t>
  </si>
  <si>
    <t>1) T0: NONSEQ at 0xFFFF.
2) Execute SEQ beats → increments exceed memory range.
3) On boundary → wrap to wrap_base (aligned, smaller address block).
4) Continue for x total beats.</t>
  </si>
  <si>
    <t>Wrap is based on wrap_base, NOT on 0xFFFF.
A0 unaligned allowed, wrap-window aligned.
Out-of-range lanes ignored.</t>
  </si>
  <si>
    <t>PASS</t>
  </si>
  <si>
    <t>Single transfer</t>
  </si>
  <si>
    <t>i_haddr = random</t>
  </si>
  <si>
    <t>i_hsize = random</t>
  </si>
  <si>
    <t>i_hwrite dist {0:50, 1:50}</t>
  </si>
  <si>
    <t>Write and Read transfers are generated with a 50:50 distribution, using random HSIZE and random addresses.</t>
  </si>
  <si>
    <t>1) For Address phase, create randomizatiion with write and read in dist 50:50.
2) Then random HSIZE with dist {HSIZE_BYTE: 25, HSIZE_HWORD: 10, HSIZE_WORD: 55, HSIZE_DWORD: 5, HSIZE_128BIT: 5} and Address in range [32'h0 - 32'h0000_01FF].
3) At Data phase, random HWDATA if it write transfer and HWDATA = 0 if it read transfer
4) Check signal o_hreadyout and o_hresp. And check o_hrdata if it read transfer.</t>
  </si>
  <si>
    <t>always: 
o_hreadyout = 1
o_hresp = 0 (OKAY)
If Read data at the address which have  been write before. The data read and data write before must be the same.</t>
  </si>
  <si>
    <t>Spec 1.5.1, 1.5.4</t>
  </si>
  <si>
    <t>t_single_1</t>
  </si>
  <si>
    <t>i_haddr = 0x04 (fixed)</t>
  </si>
  <si>
    <t>Write and Read transfers are generated with a 50:50 distribution, using random HSIZE and fixed addresses (0x04).</t>
  </si>
  <si>
    <t>1) For Address phase, create randomizatiion with write and read in dist 50:50.
2) Then random HSIZE with dist {HSIZE_BYTE: 25, HSIZE_HWORD: 10, HSIZE_WORD: 55, HSIZE_DWORD: 5, HSIZE_128BIT: 5}. And Address is 0x04.
3) At Data phase, random HWDATA if it write transfer and HWDATA = 0 if it read transfer
4) Check signal o_hreadyout and o_hresp. And check o_hrdata if it read transfer.</t>
  </si>
  <si>
    <t>always: 
o_hreadyout = 1
o_hresp = 0 (OKAY).
If the read transfer, must check the data value depend on the hsize of write and read.</t>
  </si>
  <si>
    <t>t_single_2</t>
  </si>
  <si>
    <t>i_hsize = HSIZE_WORD</t>
  </si>
  <si>
    <t>The stimulus generates write and read transactions with a 50/50 ratio. Address is fixed to 0x04 and HSIZE is fixed to HSIZE_WORD.</t>
  </si>
  <si>
    <t>1) For Address phase, create randomizatiion with write and read in dist 50:50.
2) The HSIZE is fixed to HSIZE_WORD and Address is fixed to 0x04.
3) At Data phase, random HWDATA if it write transfer and HWDATA = 0 if it read transfer
4) Check signal o_hreadyout and o_hresp. And check o_hrdata if it read transfer.</t>
  </si>
  <si>
    <t>always: 
o_hreadyout = 1
o_hresp = 0 (OKAY).
If the read transfer, must check the data value. The data read must be same at the data have been write recently.</t>
  </si>
  <si>
    <t>t_single_3</t>
  </si>
  <si>
    <t>i_haddr inside {0x00, 0x04, 0x10, 0x20}</t>
  </si>
  <si>
    <t>Write and Read transfers are generated with a 50:50 distribution, using fixed HSIZE = HSIZE_WORD and random addresses inside {0x00, 0x04, 0x10, 0x20}.</t>
  </si>
  <si>
    <t xml:space="preserve">1) For Address phase, create randomization with write and read in dist 50:50.
2) The HSIZE is fixed to HSIZE_WORD.
3) The Address is rand inside {0x00, 0x04, 0x10, 0x20}.
4) At Data phase, random HWRITE if it write transfer and HWRITE = 0 if it read transfer.
5) Check the signal o_hreadyout and o_hresp. Anh check o_hrdata if it read transfer. </t>
  </si>
  <si>
    <t>FAIL</t>
  </si>
  <si>
    <t>t_single_4</t>
  </si>
  <si>
    <t>Fai l Adress 0x00 and 0x04</t>
  </si>
  <si>
    <t>i_haddr inside {0x00, 0x08, 0x10, 0x20}</t>
  </si>
  <si>
    <t>Write and Read transfers are generated with a 50:50 distribution, using fixed HSIZE = HSIZE_WORD and random addresses inside {0x00, 0x08, 0x10, 0x20}.</t>
  </si>
  <si>
    <t xml:space="preserve">1) For Address phase, create randomization with write and read in dist 50:50.
2) The HSIZE is fixed to HSIZE_WORD.
3) The Address is rand inside {0x00, 0x08, 0x10, 0x20}.
4) At Data phase, random HWRITE if it write transfer and HWRITE = 0 if it read transfer.
5) Check the signal o_hreadyout and o_hresp. And check o_hrdata if it read transfer. </t>
  </si>
  <si>
    <t>t_single_5</t>
  </si>
  <si>
    <t>i_haddr inside {0x00, 0x08, 0x10, 0x14}</t>
  </si>
  <si>
    <t>Write and Read transfers are generated with a 50:50 distribution, using fixed HSIZE and random addresses inside {0x00, 0x08, 0x10, 0x14}.</t>
  </si>
  <si>
    <t xml:space="preserve">1) For Address phase, create randomization with write and read in dist 50:50.
2) The HSIZE is fixed to HSIZE_WORD.
3) The Address is rand inside {0x00, 0x08, 0x10, 0x14}.
4) At Data phase, random HWRITE if it write transfer and HWRITE = 0 if it read transfer.
5) Check the signal o_hreadyout and o_hresp. And check o_hrdata if it read transfer. </t>
  </si>
  <si>
    <t>t_single_6</t>
  </si>
  <si>
    <t>Fail address 0x10 and 0x14</t>
  </si>
  <si>
    <t>i_haddr inside {0x00, 0x04, 0x10, 0x14}</t>
  </si>
  <si>
    <t>Write and Read transfers are generated with a 50:50 distribution, using fixed HSIZE and random addresses inside {0x00, 0x04, 0x10, 0x14}.</t>
  </si>
  <si>
    <t xml:space="preserve">1) For Address phase, create randomization with write and read in dist 50:50.
2) The HSIZE is fixed to HSIZE_WORD.
3) The Address is rand inside {0x00, 0x04, 0x10, 0x14}.
4) At Data phase, random HWRITE if it write transfer and HWRITE = 0 if it read transfer.
5) Check the signal o_hreadyout and o_hresp. And check o_hrdata if it read transfer. </t>
  </si>
  <si>
    <t>t_single_7</t>
  </si>
  <si>
    <t>i_hsize = HSIZE_HWORD</t>
  </si>
  <si>
    <t>The stimulus generates write and read transactions with a 50/50 ratio. Address is fixed to 0x04 and HSIZE is fixed to HSIZE_HWORD.</t>
  </si>
  <si>
    <t>1) For Address phase, create randomizatiion with write and read in dist 50:50.
2) The HSIZE is fixed to HSIZE_HWORD and Address is fixed to 0x04.
3) At Data phase, random HWDATA if it write transfer and HWDATA = 0 if it read transfer
4) Check signal o_hreadyout and o_hresp. And check o_hrdata if it read transfer.</t>
  </si>
  <si>
    <t>t_single_8</t>
  </si>
  <si>
    <t>Write and Read transfers are generated with a 50:50 distribution, using fixed HSIZE = HSIZE_HWORD and random addresses inside {0x00, 0x08, 0x10, 0x20}.</t>
  </si>
  <si>
    <t xml:space="preserve">1) For Address phase, create randomization with write and read in dist 50:50.
2) The HSIZE is fixed to HSIZE_HWORD.
3) The Address is rand inside {0x00, 0x04, 0x10, 0x20}.
4) At Data phase, random HWRITE if it write transfer and HWRITE = 0 if it read transfer.
5) Check the signal o_hreadyout and o_hresp. Anh check o_hrdata if it read transfer. </t>
  </si>
  <si>
    <t>t_single_9</t>
  </si>
  <si>
    <t>i_hsize = HSIZE_BYTE</t>
  </si>
  <si>
    <t>The stimulus generates write and read transactions with a 50/50 ratio. Address is fixed to 0x04 and HSIZE is fixed to HSIZE_BYTE.</t>
  </si>
  <si>
    <t>1) For Address phase, create randomizatiion with write and read in dist 50:50.
2) The HSIZE is fixed to HSIZE_BYTE and Address is fixed to 0x04.
3) At Data phase, random HWDATA if it write transfer and HWDATA = 0 if it read transfer
4) Check signal o_hreadyout and o_hresp. And check o_hrdata if it read transfer.</t>
  </si>
  <si>
    <t>t_single_10</t>
  </si>
  <si>
    <t>Write and Read transfers are generated with a 50:50 distribution, using fixed HSIZE = HSIZE_BYTE and random addresses inside {0x00, 0x08, 0x10, 0x20}.</t>
  </si>
  <si>
    <t xml:space="preserve">1) For Address phase, create randomization with write and read in dist 50:50.
2) The HSIZE is fixed to HSIZE_BYTE.
3) The Address is rand inside {0x00, 0x08, 0x10, 0x20}.
4) At Data phase, random HWRITE if it write transfer and HWRITE = 0 if it read transfer.
5) Check the signal o_hreadyout and o_hresp. Anh check o_hrdata if it read transfer. </t>
  </si>
  <si>
    <t>t_single_11</t>
  </si>
  <si>
    <t>i_hsize = HSIZE_DWORD</t>
  </si>
  <si>
    <t>The stimulus generates write and read transactions with a 50/50 ratio. Address is fixed to 0x04 and HSIZE is fixed to HSIZE_DWORD.</t>
  </si>
  <si>
    <t>always: 
o_hreadyout = 1
o_hresp = 1 (ERROR). Because the BUS WIDTH is 32  bits. But the HSIZE is DWORD, it 64 bits. So it is violated.</t>
  </si>
  <si>
    <t>Spec 1.5.1, 1.5.4, 1.8.2</t>
  </si>
  <si>
    <t>t_single_12</t>
  </si>
  <si>
    <t>HRESP = 0</t>
  </si>
  <si>
    <t>Write and Read transfers are generated with a 50:50 distribution, using fixed HSIZE = HSIZE_DWORD and random addresses inside {0x00, 0x08, 0x10, 0x20}.</t>
  </si>
  <si>
    <t xml:space="preserve">1) For Address phase, create randomization with write and read in dist 50:50.
2) The HSIZE is fixed to HSIZE_DWORD.
3) The Address is rand inside {0x00, 0x08, 0x10, 0x20}.
4) At Data phase, random HWRITE if it write transfer and HWRITE = 0 if it read transfer.
5) Check the signal o_hreadyout and o_hresp. Anh check o_hrdata if it read transfer. </t>
  </si>
  <si>
    <t>t_single_13</t>
  </si>
  <si>
    <t>Waited transfer</t>
  </si>
  <si>
    <t>i_hwrite dist {0:50, 1:50}. Read transfer delay 2 cycle</t>
  </si>
  <si>
    <t>Write and Read transfers are generated with a 50:50 distribution, using fixed HSIZE = HSIZE_WORD and fixed addresses to 0x04. Read transfers include an additional 2‑cycle wait.</t>
  </si>
  <si>
    <t>1) For Address phase, create randomizatiion with write and read in dist 50:50.
2) The HSIZE is fixed to HSIZE_WORD and Address is fixed to 0x04.
3) At Data phase, random HWDATA if it write transfer and HWDATA = 0 if it read transfer. And add 2-cycle wait if it read transfer.
4) Check signal o_hreadyout and o_hresp. And check o_hrdata if it read transfer.</t>
  </si>
  <si>
    <t>At data phase, o_hreadyout = 1 when it write transfer. At read transfer, the o_hreadyout = 0 for 2 cycle, after that o_hreadyout = 1. At this time. The data is sampled.
o_hresp always is 0 (OKAY).
The data read must be same the data which have recently been written.</t>
  </si>
  <si>
    <t>t_waiting_1</t>
  </si>
  <si>
    <t>i_hwrite dist {0:50, 1:50}. Write transfer delay 2 cycle</t>
  </si>
  <si>
    <t>Write and Read transfers are generated with a 50:50 distribution, using fixed HSIZE = HSIZE_WORD and fixed addresses to 0x04. Write transfers include an additional 2‑cycle wait.</t>
  </si>
  <si>
    <t>1) For Address phase, create randomizatiion with write and read in dist 50:50.
2) The HSIZE is fixed to HSIZE_WORD and Address is fixed to 0x04.
3) At Data phase, random HWDATA if it write transfer and HWDATA = 0 if it read transfer. And add 2-cycle wait if it write transfer.
4) Check signal o_hreadyout and o_hresp. And check o_hrdata if it read transfer.</t>
  </si>
  <si>
    <t>At data phase, o_hreadyout = 1 when it read transfer. At write transfer, the o_hreadyout = 0 for 2 cycle, after that o_hreadyout = 1. At this time. The data is sampled.
o_hresp always is 0 (OKAY).
The data read must be same the data which have recently been written.</t>
  </si>
  <si>
    <t>Spec 1.5.1, 1.5.4, 1.7</t>
  </si>
  <si>
    <t>t_waiting_2</t>
  </si>
  <si>
    <t>Write and Read transfers are generated with a 50:50 distribution, using fixed HSIZE = HSIZE_WORD and random addresses. Write transfers include an additional 2‑cycle wait.</t>
  </si>
  <si>
    <t>1) For Address phase, create randomizatiion with write and read in dist 50:50.
2) The HSIZE is fixed to HSIZE_WORD and Address is randomized in range  [32'h0 - 32'h0000_01FF].
3) At Data phase, random HWDATA if it write transfer and HWDATA = 0 if it read transfer. And add 2-cycle wait if it write transfer.
4) Check signal o_hreadyout and o_hresp. And check o_hrdata if it read transfer.</t>
  </si>
  <si>
    <t>At data phase, o_hreadyout = 1 when it read transfer. At write transfer, the o_hreadyout = 0 for 2 cycle, after that o_hreadyout = 1. At this time. The data is sampled.
o_hresp always is 0 (OKAY).
The data read at the address which have recently been written must be same.</t>
  </si>
  <si>
    <t>t_waiting_3</t>
  </si>
  <si>
    <t>Write and Read transfers are generated with a 50:50 distribution, using fixed HSIZE = HSIZE_WORD and random addresses inside {0x00, 0x08, 0x10, 0x20}. Write transfers include an additional 2‑cycle wait.</t>
  </si>
  <si>
    <t xml:space="preserve">1) For Address phase, create randomization with write and read in dist 50:50.
2) The HSIZE is fixed to HSIZE_WORD.
3) The Address is rand inside {0x00, 0x08, 0x10, 0x20}.
4) At Data phase, random HWRITE if it write transfer and HWRITE = 0 if it read transfer. And add 2-cycle wait if it write transfers.
5) Check the signal o_hreadyout and o_hresp. Anh check o_hrdata if it read transfer. </t>
  </si>
  <si>
    <t>t_waiting_4</t>
  </si>
  <si>
    <t>Write and Read transfers are generated with a 50:50 distribution, using fixed HSIZE = HSIZE_WORD and random addresses inside {0x00, 0x08, 0x10, 0x20}. Read transfers include an additional 2‑cycle wait.</t>
  </si>
  <si>
    <t xml:space="preserve">1) For Address phase, create randomization with write and read in dist 50:50.
2) The HSIZE is fixed to HSIZE_WORD.
3) The Address is rand inside {0x00, 0x08, 0x10, 0x20}.
4) At Data phase, random HWRITE if it write transfer and HWRITE = 0 if it read transfer. And add 2-cycle wait if it read transfers.
5) Check the signal o_hreadyout and o_hresp. Anh check o_hrdata if it read transfer. </t>
  </si>
  <si>
    <t>At data phase, o_hreadyout = 1 when it write transfer. At read transfer, the o_hreadyout = 0 for 2 cycle, after that o_hreadyout = 1. At this time. The data is sampled.
o_hresp always is 0 (OKAY).
The data read at the address which have recently been written must be same.</t>
  </si>
  <si>
    <t>t_waiting_5</t>
  </si>
  <si>
    <t>Write and Read transfers are generated with a 50:50 distribution, using fixed HSIZE = HSIZE_HWORD and fixed Address to 0x04 Read transfers include an additional 2‑cycle wait.</t>
  </si>
  <si>
    <t>1) For Address phase, create randomizatiion with write and read in dist 50:50.
2) The HSIZE is fixed to HSIZE_HWORD and Address is fixed to 0x04.
3) At Data phase, random HWDATA if it write transfer and HWDATA = 0 if it read transfer. And add 2-cycle wait if it read transfer.
4) Check signal o_hreadyout and o_hresp. And check o_hrdata if it read transfer.</t>
  </si>
  <si>
    <t>t_waiting_6</t>
  </si>
  <si>
    <t>Write and Read transfers are generated with a 50:50 distribution, using fixed HSIZE = HSIZE_HWORD and fixed Address to 0x04. Write transfers include an additional 2‑cycle wait.</t>
  </si>
  <si>
    <t>1) For Address phase, create randomizatiion with write and read in dist 50:50.
2) The HSIZE is fixed to HSIZE_HWORD and Address is fixed to 0x04.
3) At Data phase, random HWDATA if it write transfer and HWDATA = 0 if it read transfer. And add 2-cycle wait if it write transfer.
4) Check signal o_hreadyout and o_hresp. And check o_hrdata if it read transfer.</t>
  </si>
  <si>
    <t>t_waiting_7</t>
  </si>
  <si>
    <t>Write and Read transfers are generated with a 50:50 distribution, using fixed HSIZE = HSIZE_HWORD and random addresses inside {0x00, 0x08, 0x10, 0x20}. Read transfers include an additional 2‑cycle wait.</t>
  </si>
  <si>
    <t xml:space="preserve">1) For Address phase, create randomization with write and read in dist 50:50.
2) The HSIZE is fixed to HSIZE_HWORD.
3) The Address is rand inside {0x00, 0x08, 0x10, 0x20}.
4) At Data phase, random HWRITE if it write transfer and HWRITE = 0 if it read transfer. And add 2-cycle wait if it read transfers.
5) Check the signal o_hreadyout and o_hresp. Anh check o_hrdata if it read transfer. </t>
  </si>
  <si>
    <t>t_waiting_8</t>
  </si>
  <si>
    <t>Write and Read transfers are generated with a 50:50 distribution, using fixed HSIZE = HSIZE_HWORD and random addresses inside {0x00, 0x08, 0x10, 0x20}. Write transfers include an additional 2‑cycle wait.</t>
  </si>
  <si>
    <t xml:space="preserve">1) For Address phase, create randomization with write and read in dist 50:50.
2) The HSIZE is fixed to HSIZE_HWORD.
3) The Address is rand inside {0x00, 0x08, 0x10, 0x20}.
4) At Data phase, random HWRITE if it write transfer and HWRITE = 0 if it read transfer. And add 2-cycle wait if it write transfers.
5) Check the signal o_hreadyout and o_hresp. Anh check o_hrdata if it read transfer. </t>
  </si>
  <si>
    <t>t_waiting_9</t>
  </si>
  <si>
    <t>Write and Read transfers are generated with a 50:50 distribution, using fixed HSIZE = HSIZE_BYTE and fixed Address to 0x04. Write transfers include an additional 2‑cycle wait.</t>
  </si>
  <si>
    <t>1) For Address phase, create randomizatiion with write and read in dist 50:50.
2) The HSIZE is fixed to HSIZE_BYTE and Address is fixed to 0x04.
3) At Data phase, random HWDATA if it write transfer and HWDATA = 0 if it read transfer. And add 2-cycle wait if it write transfer.
4) Check signal o_hreadyout and o_hresp. And check o_hrdata if it read transfer.</t>
  </si>
  <si>
    <t>t_waiting_10</t>
  </si>
  <si>
    <t>Write and Read transfers are generated with a 50:50 distribution, using fixed HSIZE = HSIZE_BYTE and fixed Address to 0x04. Read transfers include an additional 2‑cycle wait.</t>
  </si>
  <si>
    <t>1) For Address phase, create randomizatiion with write and read in dist 50:50.
2) The HSIZE is fixed to HSIZE_BYTE and Address is fixed to 0x04.
3) At Data phase, random HWDATA if it write transfer and HWDATA = 0 if it read transfer. And add 2-cycle wait if it read transfer.
4) Check signal o_hreadyout and o_hresp. And check o_hrdata if it read transfer.</t>
  </si>
  <si>
    <t>t_waiting_11</t>
  </si>
  <si>
    <t>Write and Read transfers are generated with a 50:50 distribution, using fixed HSIZE = HSIZE_BYTE and random addresses inside {0x00, 0x08, 0x10, 0x20}. Read transfers include an additional 2‑cycle wait.</t>
  </si>
  <si>
    <t xml:space="preserve">1) For Address phase, create randomization with write and read in dist 50:50.
2) The HSIZE is fixed to HSIZE_BYTE.
3) The Address is rand inside {0x00, 0x08, 0x10, 0x20}.
4) At Data phase, random HWRITE if it write transfer and HWRITE = 0 if it read transfer. And add 2-cycle wait if it read transfers.
5) Check the signal o_hreadyout and o_hresp. Anh check o_hrdata if it read transfer. </t>
  </si>
  <si>
    <t>t_waiting_12</t>
  </si>
  <si>
    <t>Write and Read transfers are generated with a 50:50 distribution, using fixed HSIZE = HSIZE_BYTE and random addresses inside {0x00, 0x08, 0x10, 0x20}. Write transfers include an additional 2‑cycle wait.</t>
  </si>
  <si>
    <t xml:space="preserve">1) For Address phase, create randomization with write and read in dist 50:50.
2) The HSIZE is fixed to HSIZE_BYTE.
3) The Address is rand inside {0x00, 0x08, 0x10, 0x20}.
4) At Data phase, random HWRITE if it write transfer and HWRITE = 0 if it read transfer. And add 2-cycle wait if it write transfers.
5) Check the signal o_hreadyout and o_hresp. Anh check o_hrdata if it read transfer. </t>
  </si>
  <si>
    <t>t_waiting_13</t>
  </si>
  <si>
    <t>Write and Read transfers are generated with a 50:50 distribution, using fixed HSIZE = HSIZE_DWORD and fixed Address to 0x04. Write transfers include an additional 2‑cycle wait.</t>
  </si>
  <si>
    <t>1) For Address phase, create randomizatiion with write and read in dist 50:50.
2) The HSIZE is fixed to HSIZE_DWORD and Address is fixed to 0x04.
3) At Data phase, random HWDATA if it write transfer and HWDATA = 0 if it read transfer. And add 2-cycle wait if it write transfer.
4) Check signal o_hreadyout and o_hresp. And check o_hrdata if it read transfer.</t>
  </si>
  <si>
    <t>always: 
o_hreadyout = 1
o_hresp = 1 (ERROR). Because the BUS WIDTH is 32  bits. But the HSIZE is DWORD, it 64 bits. So it is violated.
o_hrdata = 0, if it read transfer</t>
  </si>
  <si>
    <t>t_waiting_14</t>
  </si>
  <si>
    <t>Write and Read transfers are generated with a 50:50 distribution, using fixed HSIZE = HSIZE_DWORD and fixed Address to 0x04. Read transfers include an additional 2‑cycle wait.</t>
  </si>
  <si>
    <t>1) For Address phase, create randomizatiion with write and read in dist 50:50.
2) The HSIZE is fixed to HSIZE_DWORD and Address is fixed to 0x04.
3) At Data phase, random HWDATA if it write transfer and HWDATA = 0 if it read transfer. And add 2-cycle wait if it read transfer.
4) Check signal o_hreadyout and o_hresp. And check o_hrdata if it read transfer.</t>
  </si>
  <si>
    <t>t_waiting_15</t>
  </si>
  <si>
    <t>Write and Read transfers are generated with a 50:50 distribution, using fixed HSIZE = HSIZE_DWORD and random addresses inside {0x00, 0x08, 0x10, 0x20}. Write transfers include an additional 2‑cycle wait.</t>
  </si>
  <si>
    <t xml:space="preserve">1) For Address phase, create randomization with write and read in dist 50:50.
2) The HSIZE is fixed to DWORD.
3) The Address is rand inside {0x00, 0x08, 0x10, 0x20}.
4) At Data phase, random HWRITE if it write transfer and HWRITE = 0 if it read transfer. And add 2-cycle wait if it write transfers.
5) Check the signal o_hreadyout and o_hresp. Anh check o_hrdata if it read transfer. </t>
  </si>
  <si>
    <t>t_waiting_16</t>
  </si>
  <si>
    <t>Write and Read transfers are generated with a 50:50 distribution, using fixed HSIZE = HSIZE_DWORD and random addresses inside {0x00, 0x08, 0x10, 0x20}. Read transfers include an additional 2‑cycle wait.</t>
  </si>
  <si>
    <t xml:space="preserve">1) For Address phase, create randomization with write and read in dist 50:50.
2) The HSIZE is fixed to HSIZE_DWORD.
3) The Address is rand inside {0x00, 0x08, 0x10, 0x20}.
4) At Data phase, random HWRITE if it write transfer and HWRITE = 0 if it read transfer. And add 2-cycle wait if it read transfers.
5) Check the signal o_hreadyout and o_hresp. Anh check o_hrdata if it read transfer. </t>
  </si>
  <si>
    <t>t_waiting_17</t>
  </si>
  <si>
    <t>Transfer type</t>
  </si>
  <si>
    <t>i_hsize = HSIZE_WORD, i_htrans = IDLE</t>
  </si>
  <si>
    <t>Set the transfer type is IDLE to verify the o_hreadyout signal</t>
  </si>
  <si>
    <t xml:space="preserve">1) For Address phase, create randomization with write and read in dist 50:50.
2) The HSIZE is fixed to HSIZE_WORD. HTRANS is fixed to IDLE.
3) The Address is rand inside {0x00, 0x08, 0x10, 0x20}.
4) Check the signal o_hreadyout and o_hresp. Anh check o_hrdata if it read transfer. </t>
  </si>
  <si>
    <t>always: 
o_hreadyout = 1
o_hresp = 0 (OKAY).
There is no transfer is processed</t>
  </si>
  <si>
    <t>Spec 1.5.2</t>
  </si>
  <si>
    <t>i_hsize = HSIZE_WORD, i_htrans = BUSY</t>
  </si>
  <si>
    <t>Set the transfer type is BUSY to verify the o_hreadyout signal</t>
  </si>
  <si>
    <t xml:space="preserve">1) For Address phase, create randomization with write and read in dist 50:50.
2) The HSIZE is fixed to HSIZE_WORD. HTRANS is fixed to BUSY.
3) The Address is rand inside {0x00, 0x08, 0x10, 0x20}.
4) Check the signal o_hreadyout and o_hresp. Anh check o_hrdata if it read transfer. </t>
  </si>
  <si>
    <t>t_busy</t>
  </si>
  <si>
    <t>i_hsize = HSIZE_WORD, i_htrans = SEQ</t>
  </si>
  <si>
    <t>Set the transfer type is SEQ to verify the o_hreadyout signal</t>
  </si>
  <si>
    <t xml:space="preserve">1) For Address phase, create randomization with write and read in dist 50:50.
2) The HSIZE is fixed to HSIZE_WORD. HTRANS is fixed to SEQ.
3) The Address is rand inside {0x00, 0x08, 0x10, 0x20}.
4) Check the signal o_hreadyout and o_hresp. Anh check o_hrdata if it read transfer. </t>
  </si>
  <si>
    <t>o_hreadyout = 1
o_hresp = 1 (ERROR). Because in Single transfer, there is not permitted to start with SEQ</t>
  </si>
  <si>
    <t>Total</t>
  </si>
  <si>
    <t>NOCHK</t>
  </si>
  <si>
    <t>C2.1</t>
  </si>
  <si>
    <t>After reset deassertion the slave must present idle values on its interface; no spurious responses.</t>
  </si>
  <si>
    <t>CHK</t>
  </si>
  <si>
    <t>C2.1.1</t>
  </si>
  <si>
    <t>No X/Z on control outputs for N cycles after reset deassertion.</t>
  </si>
  <si>
    <t>C3.1</t>
  </si>
  <si>
    <t>While HREADY is LOW, master address/control must remain stable; the slave must not sample early.</t>
  </si>
  <si>
    <t>C3.1.1</t>
  </si>
  <si>
    <t>The first beat of any burst shall have HTRANS=NONSEQ; subsequent valid beats use HTRANS=SEQ.</t>
  </si>
  <si>
    <t>C3.1.2</t>
  </si>
  <si>
    <t>HTRANS=BUSY shall not change address, size, or burst characteristics; the slave shall ignore BUSY beats.</t>
  </si>
  <si>
    <t>C3.1.3</t>
  </si>
  <si>
    <t>Slave shall recognize only legal HBURST encodings: SINGLE, INCR, INCR4/8/16, WRAP4/8/16 (if implemented).</t>
  </si>
  <si>
    <t>C3.1.4</t>
  </si>
  <si>
    <t>HWRITE indicates transfer direction and shall be sampled with NONSEQ/SEQ beats only.</t>
  </si>
  <si>
    <t>C3.1.5</t>
  </si>
  <si>
    <t>HSIZE encodes transfer size; slave shall use it to select byte lanes.</t>
  </si>
  <si>
    <t>C3.2</t>
  </si>
  <si>
    <t>Address phase of beat n+1 overlaps data phase of beat n; slave shall handle pipelining without hazard.</t>
  </si>
  <si>
    <t>C3.2.1</t>
  </si>
  <si>
    <t>Data is sampled/returned only on cycles when HREADY is HIGH (completion cycles).</t>
  </si>
  <si>
    <t>C3.2.2</t>
  </si>
  <si>
    <t>Slave shall not duplicate or drop data when inserting wait states (HREADY LOW).</t>
  </si>
  <si>
    <t>C4.1</t>
  </si>
  <si>
    <t>SINGLE write: one-beat write shall commit exactly once when HREADY returns HIGH.</t>
  </si>
  <si>
    <t>C4.1.1</t>
  </si>
  <si>
    <t>SINGLE read: read data shall match the addressed location when HREADY is HIGH.</t>
  </si>
  <si>
    <t>C4.2</t>
  </si>
  <si>
    <t>For HSIZE=8-bit, only the targeted byte lane(s) shall be enabled on write; read must return the correct byte.</t>
  </si>
  <si>
    <t>C4.2.1</t>
  </si>
  <si>
    <t>For HSIZE=16-bit, correct half-word lane enables; reads return correct half-word.</t>
  </si>
  <si>
    <t>C4.2.2</t>
  </si>
  <si>
    <t>For HSIZE=32-bit, all byte lanes enabled; reads return full word.</t>
  </si>
  <si>
    <t>C4.2.3</t>
  </si>
  <si>
    <t>If wider sizes (&gt;32-bit) are implemented, lane enables and alignment shall follow design spec.</t>
  </si>
  <si>
    <t>C5.1</t>
  </si>
  <si>
    <t>INCR (variable length) bursts shall increment address by transfer size each beat.</t>
  </si>
  <si>
    <t>C5.1.1</t>
  </si>
  <si>
    <t>INCR4 shall transfer exactly 4 beats with HTRANS sequence NONSEQ, SEQ×3.</t>
  </si>
  <si>
    <t>C5.1.2</t>
  </si>
  <si>
    <t>INCR8 shall transfer exactly 8 beats with legal timing and responses.</t>
  </si>
  <si>
    <t>C5.1.3</t>
  </si>
  <si>
    <t>INCR16 shall transfer exactly 16 beats; no premature end unless error/terminate.</t>
  </si>
  <si>
    <t>C5.2</t>
  </si>
  <si>
    <t>WRAP bursts shall wrap address within the aligned wrap boundary (if implemented).</t>
  </si>
  <si>
    <t>C5.2.1</t>
  </si>
  <si>
    <t>WRAP4 uses a 4-beat wrap window aligned to 4×size boundary (if implemented).</t>
  </si>
  <si>
    <t>C5.2.2</t>
  </si>
  <si>
    <t>WRAP8 uses an 8-beat wrap window aligned to 8×size boundary (if implemented).</t>
  </si>
  <si>
    <t>C5.2.3</t>
  </si>
  <si>
    <t>WRAP16 uses a 16-beat wrap window aligned to 16×size boundary (if implemented).</t>
  </si>
  <si>
    <t>C6.1</t>
  </si>
  <si>
    <t>Slave may insert wait states by holding HREADY LOW; address/control must remain stable during waits.</t>
  </si>
  <si>
    <t>C6.1.1</t>
  </si>
  <si>
    <t>Write data shall be held stable by master; the slave shall commit only once when HREADY is HIGH.</t>
  </si>
  <si>
    <t>C6.1.2</t>
  </si>
  <si>
    <t>Read latency may vary; slave shall assert HREADY HIGH only when read data is valid.</t>
  </si>
  <si>
    <t>C6.1.3</t>
  </si>
  <si>
    <t>Long consecutive waits shall not cause protocol violation or deadlock.</t>
  </si>
  <si>
    <t>C7.1</t>
  </si>
  <si>
    <t>OKAY response indicates successful transfer; no side-effects beyond the commit.</t>
  </si>
  <si>
    <t>C7.2</t>
  </si>
  <si>
    <t>ERROR response indicates transfer failure; the transfer shall terminate immediately.</t>
  </si>
  <si>
    <t>C7.2.1</t>
  </si>
  <si>
    <t>ERROR on first beat terminates the burst and prevents further beats.</t>
  </si>
  <si>
    <t>C7.2.2</t>
  </si>
  <si>
    <t>ERROR on a middle beat aborts the remaining beats; no further commits beyond error point.</t>
  </si>
  <si>
    <t>C7.2.3</t>
  </si>
  <si>
    <t>ERROR on the last beat terminates the burst with no extra trailing beat.</t>
  </si>
  <si>
    <t>C7.3</t>
  </si>
  <si>
    <t>RETRY response indicates slave requests the master to retry later (full AHB only).</t>
  </si>
  <si>
    <t>C7.3.1</t>
  </si>
  <si>
    <t>Upon RETRY, the master must repeat the address phase later; slave must eventually respond OKAY when ready.</t>
  </si>
  <si>
    <t>C7.3.2</t>
  </si>
  <si>
    <t>Multiple RETRYs may occur; protocol timing must remain legal across retries.</t>
  </si>
  <si>
    <t>C7.4</t>
  </si>
  <si>
    <t>SPLIT response releases the bus; master must not continue until slave indicates ready via HSPLIT (full AHB only).</t>
  </si>
  <si>
    <t>C7.4.1</t>
  </si>
  <si>
    <t>HSPLIT shall be asserted for the specific master ID to re-enable that master (per-master HSPLIT bit).</t>
  </si>
  <si>
    <t>C7.4.2</t>
  </si>
  <si>
    <t>After HSPLIT, the retried transfer must complete following normal rules (may include waits).</t>
  </si>
  <si>
    <t>C8.1</t>
  </si>
  <si>
    <t>When HLOCK is asserted by the master, the slave shall behave per design policy (service without SPLIT or apply RETRY/SPLIT as specified).</t>
  </si>
  <si>
    <t>C9.1</t>
  </si>
  <si>
    <t>Slave shall respond only when selected (HSEL active) and the address targets the slave's decode window.</t>
  </si>
  <si>
    <t>C9.1.1</t>
  </si>
  <si>
    <t>When not selected, the slave shall not drive responses that affect the bus.</t>
  </si>
  <si>
    <t>C9.2</t>
  </si>
  <si>
    <t>Bus parking by arbiter shall not cause the slave to respond unless addressed.</t>
  </si>
  <si>
    <t>C10.1</t>
  </si>
  <si>
    <t>Address decode must select the slave for all configured ranges; out-of-range accesses shall not select the slave.</t>
  </si>
  <si>
    <t>C10.2</t>
  </si>
  <si>
    <t>Unmapped address accesses are handled by default slave; the DUT slave must remain inactive.</t>
  </si>
  <si>
    <t>C11.1</t>
  </si>
  <si>
    <t>For aligned starts, address alignment equals transfer size alignment requirement.</t>
  </si>
  <si>
    <t>C11.2</t>
  </si>
  <si>
    <t>If unaligned starts are permitted by design, slave shall honor lane enables and deliver correct data.</t>
  </si>
  <si>
    <t>C11.3</t>
  </si>
  <si>
    <t>If unaligned starts are not supported, behavior shall follow design spec (e.g., ERROR or split into multiple accesses).</t>
  </si>
  <si>
    <t>C12.1</t>
  </si>
  <si>
    <t>Back-to-back bursts with zero idle shall be accepted; first beat of next burst uses NONSEQ.</t>
  </si>
  <si>
    <t>C12.2</t>
  </si>
  <si>
    <t>Chaining different burst types/sizes shall not violate protocol timing or data integrity.</t>
  </si>
  <si>
    <t>C13.1</t>
  </si>
  <si>
    <t>Long bursts combined with long waits shall not deadlock; stability rules shall hold throughout.</t>
  </si>
  <si>
    <t>C13.2</t>
  </si>
  <si>
    <t>WRAP bursts started near boundary shall wrap correctly without overflow (if implemented).</t>
  </si>
  <si>
    <t>C13.3</t>
  </si>
  <si>
    <t>Address rollover near 0xFFFF_FFFC shall follow design-defined behavior without undefined responses.</t>
  </si>
  <si>
    <t>C14.1</t>
  </si>
  <si>
    <t>Illegal HTRANS values must be caught by protocol checker; the slave shall remain safe.</t>
  </si>
  <si>
    <t>C14.2</t>
  </si>
  <si>
    <t>Illegal HBURST encodings must be caught by checker; the slave shall remain safe.</t>
  </si>
  <si>
    <t>C14.3</t>
  </si>
  <si>
    <t>Invalid/oversized HSIZE must be caught by checker; the slave shall remain safe.</t>
  </si>
  <si>
    <t>C15.1</t>
  </si>
  <si>
    <t>If reset asserts mid-burst, the slave shall return to a clean IDLE state without stuck signals.</t>
  </si>
  <si>
    <t>C15.2</t>
  </si>
  <si>
    <t>Protocol timing/ordering assertions (setup/hold-like logical rules) shall always hold.</t>
  </si>
  <si>
    <t>Coverage ID</t>
  </si>
  <si>
    <t>What</t>
  </si>
  <si>
    <t>Bins/Definition</t>
  </si>
  <si>
    <t>Target</t>
  </si>
  <si>
    <t>cp_transfer_type</t>
  </si>
  <si>
    <t>Cover transfer types</t>
  </si>
  <si>
    <t>{SINGLE, INCR, INCR4, INCR8, INCR16, WRAP4/8/16(if)}</t>
  </si>
  <si>
    <t>Goal 100% legal</t>
  </si>
  <si>
    <t>cp_size</t>
  </si>
  <si>
    <t>Cover sizes</t>
  </si>
  <si>
    <t>{8,16,32 (add 64/128 if supported)}</t>
  </si>
  <si>
    <t>Goal 100%</t>
  </si>
  <si>
    <t>cp_resp</t>
  </si>
  <si>
    <t>Cover responses</t>
  </si>
  <si>
    <t>{OKAY, ERROR}</t>
  </si>
  <si>
    <t>cp_htrans</t>
  </si>
  <si>
    <t>Cover HTRANS</t>
  </si>
  <si>
    <t>{IDLE,BUSY,NONSEQ,SEQ}</t>
  </si>
  <si>
    <t>cp_wait_len</t>
  </si>
  <si>
    <t>Wait length bins</t>
  </si>
  <si>
    <t>{0,1,2-3,4-7,&gt;=8}</t>
  </si>
  <si>
    <t>&gt;=95%</t>
  </si>
  <si>
    <t>cp_burst_len</t>
  </si>
  <si>
    <t>Burst length bins</t>
  </si>
  <si>
    <t>{1,2-3,4,5-7,8,9-15,16}</t>
  </si>
  <si>
    <t>cp_align</t>
  </si>
  <si>
    <t>Alignment</t>
  </si>
  <si>
    <t>{aligned, unaligned}</t>
  </si>
  <si>
    <t>Goal 100% (if unaligned supported)</t>
  </si>
  <si>
    <t>cp_lane_en</t>
  </si>
  <si>
    <t>Byte-lane enable</t>
  </si>
  <si>
    <t>Lane mask per HSIZE vs addr</t>
  </si>
  <si>
    <t>cp_rd_latency</t>
  </si>
  <si>
    <t>Read latency</t>
  </si>
  <si>
    <t>0..10 cycles bins</t>
  </si>
  <si>
    <t>cp_wr_stall_len</t>
  </si>
  <si>
    <t>Write stall length</t>
  </si>
  <si>
    <t>cross(len × size)</t>
  </si>
  <si>
    <t>Cross burst len × size</t>
  </si>
  <si>
    <t>All legal combos</t>
  </si>
  <si>
    <t>cross(wait × burst)</t>
  </si>
  <si>
    <t>Cross wait × burst type</t>
  </si>
  <si>
    <t>Stalls under each burst</t>
  </si>
  <si>
    <t>resp × beat_index</t>
  </si>
  <si>
    <t>Cross response × beat</t>
  </si>
  <si>
    <t>ERROR at {first,mid,last}</t>
  </si>
  <si>
    <t>prev_burst × next_burst</t>
  </si>
  <si>
    <t>Back-to-back cross</t>
  </si>
  <si>
    <t>Chaining types</t>
  </si>
  <si>
    <t>address_range × slave_id</t>
  </si>
  <si>
    <t>Decode cross</t>
  </si>
  <si>
    <t>All ranges to correct slave</t>
  </si>
  <si>
    <t>Features</t>
  </si>
  <si>
    <t xml:space="preserve">The transfer consists of one address cycle and one data cycle. </t>
  </si>
  <si>
    <t>HWRITE is HIGH, it indicates a write transfer and the Manager broadcasts data on the write data bus, HWDATA.</t>
  </si>
  <si>
    <t>HWRITE is LOW, a read transfer is performed, and the Subordinate must generate the data on the read data bus, HRDATA.</t>
  </si>
  <si>
    <t>After the Subordinate has sampled the address and control it can start to drive the appropriate HREADYOUT response.</t>
  </si>
  <si>
    <t>A Subordinate can insert wait states into any transfer to enable additional time for completion. Each Subordinate has an HREADYOUT signal that it drives during the data phase of a transfer.</t>
  </si>
  <si>
    <t xml:space="preserve">For write operations the Manager holds the data stable throughout the extended cycles. For read transfers, the Subordinate does not have to provide valid data until the transfer is about to complete. </t>
  </si>
  <si>
    <t>Subordinates must always provide a zero wait state OKAY response to IDLE transfers and the transfer 
must be ignored by the Subordinate.</t>
  </si>
  <si>
    <t>Subordinates must always provide a zero wait state OKAY response to BUSY transfers and the transfer must be ignored by the Subordinate.</t>
  </si>
  <si>
    <t>NONSEQ: Single transfer or first transfer of a burst. Address and control are unrelated to previous cycle.</t>
  </si>
  <si>
    <t>The remaining transfers in a burst are SEQUENTIAL and the address is related to the previous transfer. The address is equal to the address of the previous transfer plus the transfer size, in bytes, with the transfer size being signaled by the HSIZE[2:0] signals.</t>
  </si>
  <si>
    <t>Locked transfer</t>
  </si>
  <si>
    <t>After a locked transfer, it is recommended that the Manager inserts an IDLE transfer.</t>
  </si>
  <si>
    <t>The requirement to ensure that all transfers in a locked sequence are to the same Subordinate address region</t>
  </si>
  <si>
    <t>Burst operation</t>
  </si>
  <si>
    <t>Managers must not attempt to start an incrementing burst that crosses a 1KB address boundary.</t>
  </si>
  <si>
    <t>Managers can perform single transfers using either:
• SINGLE transfer burst.
• Undefined length burst that has a burst of length one.</t>
  </si>
  <si>
    <t xml:space="preserve">The burst size indicates the number of beats in the burst and not the number of bytes transferred. </t>
  </si>
  <si>
    <t>The burst is a four-beat burst of word transfers, the address wraps at 16-byte boundaries, and the transfer to address 0x3C is followed by a transfer to address 0x30.</t>
  </si>
  <si>
    <t>four-beat incrementing burst, with a wait state added for the first transfer. In this case, the address does not wrap at a 16-byte boundary and the address 0x3C is followed by a transfer to address 
0x40.</t>
  </si>
  <si>
    <t>The burst is an eight-beat burst of word transfers, the address wraps at 32-byte boundaries, and the transfer to address 0x3C is followed by a transfer to address 0x20.</t>
  </si>
  <si>
    <t>This burst uses halfword transfers, therefore the addresses increase by two. Because the burst is incrementing, the 
addresses continue to increment beyond the 16-byte address boundary.</t>
  </si>
  <si>
    <r>
      <rPr>
        <b/>
        <sz val="11"/>
        <color rgb="FF000000"/>
        <rFont val="Aptos Narrow"/>
        <scheme val="minor"/>
      </rPr>
      <t>Undefined length bursts:</t>
    </r>
    <r>
      <rPr>
        <sz val="11"/>
        <color rgb="FF000000"/>
        <rFont val="Aptos Narrow"/>
        <scheme val="minor"/>
      </rPr>
      <t xml:space="preserve"> 
The first burst is a write consisting of two halfword transfers starting at address 0x20. These transfer addresses increment by two. 
The second burst is a read consisting of three word transfers starting at address 0x5C. These transfer addresses increment by four.</t>
    </r>
  </si>
  <si>
    <t xml:space="preserve">Transfer type changes during wait states
</t>
  </si>
  <si>
    <r>
      <rPr>
        <b/>
        <sz val="11"/>
        <color rgb="FF000000"/>
        <rFont val="Aptos Narrow"/>
        <scheme val="minor"/>
      </rPr>
      <t xml:space="preserve">IDLE transfer: 
</t>
    </r>
    <r>
      <rPr>
        <sz val="11"/>
        <color rgb="FF000000"/>
        <rFont val="Aptos Narrow"/>
        <scheme val="minor"/>
      </rPr>
      <t>During a waited transfer, the Manager is permitted to change the transfer type from IDLE to NONSEQ. When the HTRANS transfer type changes to NONSEQ the Manager must keep HTRANS constant, until HREADY is HIGH.</t>
    </r>
  </si>
  <si>
    <r>
      <rPr>
        <b/>
        <sz val="11"/>
        <color rgb="FF000000"/>
        <rFont val="Aptos Narrow"/>
        <scheme val="minor"/>
      </rPr>
      <t xml:space="preserve">BUSY transfer, fixed-length burst:
</t>
    </r>
    <r>
      <rPr>
        <sz val="11"/>
        <color rgb="FF000000"/>
        <rFont val="Aptos Narrow"/>
        <scheme val="minor"/>
      </rPr>
      <t>During a waited transfer for a fixed-length burst, the Manager is permitted to change the transfer type from BUSY to SEQ. When the HTRANS transfer type changes to SEQ the Manager must keep HTRANS constant, until HREADY is HIGH.
Because BUSY transfers must only be inserted between successive beats of a burst, this does not apply to SINGLE bursts. Therefore this situation applies to the following burst types:
• INCR4, INCR8, and INCR16.
• WRAP4, WRAP8, and WRAP16.</t>
    </r>
  </si>
  <si>
    <r>
      <rPr>
        <b/>
        <sz val="11"/>
        <color rgb="FF000000"/>
        <rFont val="Aptos Narrow"/>
        <scheme val="minor"/>
      </rPr>
      <t xml:space="preserve">BUSY transfer, undefined length burst:
</t>
    </r>
    <r>
      <rPr>
        <sz val="11"/>
        <color rgb="FF000000"/>
        <rFont val="Aptos Narrow"/>
        <scheme val="minor"/>
      </rPr>
      <t>During a waited transfer for an undefined length burst, INCR, the Manager is permitted to change from BUSY to any other transfer type, when HREADY is LOW. The burst continues if a SEQ transfer is performed but terminates if an IDLE or NONSEQ transfer is performed.</t>
    </r>
  </si>
  <si>
    <t>Address changes during wait states</t>
  </si>
  <si>
    <r>
      <rPr>
        <b/>
        <sz val="11"/>
        <color rgb="FF000000"/>
        <rFont val="Aptos Narrow"/>
        <scheme val="minor"/>
      </rPr>
      <t xml:space="preserve">During an IDLE transfer
</t>
    </r>
    <r>
      <rPr>
        <sz val="11"/>
        <color rgb="FF000000"/>
        <rFont val="Aptos Narrow"/>
        <scheme val="minor"/>
      </rPr>
      <t>During a waited transfer, the Manager is permitted to change the address for IDLE transfers. When the HTRANS transfer type changes to NONSEQ, the Manager must keep the address constant until HREADY is HIGH.</t>
    </r>
  </si>
  <si>
    <r>
      <rPr>
        <b/>
        <sz val="11"/>
        <color rgb="FF000000"/>
        <rFont val="Aptos Narrow"/>
        <scheme val="minor"/>
      </rPr>
      <t xml:space="preserve">After an ERROR response
</t>
    </r>
    <r>
      <rPr>
        <sz val="11"/>
        <color rgb="FF000000"/>
        <rFont val="Aptos Narrow"/>
        <scheme val="minor"/>
      </rPr>
      <t>During a waited transfer, if the Subordinate responds with an ERROR response, then the Manager is permitted to change the address when HREADY is LOW.</t>
    </r>
  </si>
  <si>
    <t xml:space="preserve"> HRESP signal response</t>
  </si>
  <si>
    <t>HRESP = 0: The transfer has either completed successfully or additional cycles are required for the 
Subordinate to complete the request.</t>
  </si>
  <si>
    <t>HRESP=1: An error has occurred during the transfer. The error condition must be signaled to the 
Manager so that it is aware the transfer has been unsuccessful. A two-cycle response is required for an error condition with HREADYOUT being asserted in the second cycle.</t>
  </si>
  <si>
    <t>HRESP = 0; HREADYOUT=0: Transfer pending</t>
  </si>
  <si>
    <t>HRESP = 0; HREADYOUT=1: Successful transfer</t>
  </si>
  <si>
    <t>HRESP = 1; HREADYOUT=0: ERROR response, first cycle</t>
  </si>
  <si>
    <t>HRESP = 1; HREADYOUT=1: ERROR response, second cycle</t>
  </si>
  <si>
    <t>ERROR response</t>
  </si>
  <si>
    <t>an OKAY response can be given in a single cycle, the ERROR response requires two cycles.</t>
  </si>
  <si>
    <t>To start the ERROR response, the Subordinate drives HRESP HIGH to indicate ERROR while driving HREADYOUT LOW to extend the transfer for one extra cycle. In the next cycle HREADYOUT is driven HIGH to end the transfer and HRESP remains driven HIGH to indicate ERROR.</t>
  </si>
  <si>
    <t xml:space="preserve"> By the time a Subordinate starts to issue an ERROR response, then the address for the following transfer has already been broadcast onto the bus.</t>
  </si>
  <si>
    <t>If the Subordinate requires more than two cycles to provide the ERROR response, then additional wait states can be inserted at the start of the transfer. During this time HREADY is LOW and the response must be set to OKAY.</t>
  </si>
  <si>
    <t xml:space="preserve">If a Subordinate provides an ERROR response, then the Manager can cancel the remaining transfers in the burst. </t>
  </si>
  <si>
    <t xml:space="preserve"> A Manager, which receives an ERROR response to a read transfer might still use the data.
 A Subordinate cannot rely on the ERROR response to prevent the reading of a value on HRDATA. It is recommended that HRDATA is driven to zero when an ERROR response is given to a read transfer.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</si>
</sst>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Aptos Narrow"/>
      <family val="2"/>
      <scheme val="minor"/>
    </font>
    <font>
      <sz val="8"/>
      <name val="Aptos Narrow"/>
      <family val="2"/>
      <scheme val="minor"/>
    </font>
    <font>
      <u/>
      <sz val="11"/>
      <color theme="10"/>
      <name val="Aptos Narrow"/>
      <family val="2"/>
      <scheme val="minor"/>
    </font>
    <font>
      <b/>
      <sz val="11"/>
      <name val="Calibri"/>
    </font>
    <font>
      <sz val="11"/>
      <color rgb="FF000000"/>
      <name val="Calibri"/>
      <family val="2"/>
    </font>
    <font>
      <sz val="11"/>
      <color rgb="FF000000"/>
      <name val="Calibri"/>
    </font>
    <font>
      <b/>
      <sz val="16"/>
      <name val="Calibri"/>
    </font>
    <font>
      <sz val="16"/>
      <color rgb="FF000000"/>
      <name val="Calibri"/>
      <family val="2"/>
    </font>
    <font>
      <sz val="16"/>
      <color theme="1"/>
      <name val="Aptos Narrow"/>
      <family val="2"/>
      <scheme val="minor"/>
    </font>
    <font>
      <sz val="16"/>
      <color rgb="FF000000"/>
      <name val="Calibri"/>
    </font>
    <font>
      <b/>
      <sz val="16"/>
      <color theme="1"/>
      <name val="Aptos Narrow"/>
      <family val="2"/>
      <scheme val="minor"/>
    </font>
    <font>
      <b/>
      <sz val="16"/>
      <color rgb="FF000000"/>
      <name val="Calibri"/>
    </font>
    <font>
      <b/>
      <sz val="16"/>
      <color rgb="FF000000"/>
      <name val="Aptos Narrow"/>
      <scheme val="minor"/>
    </font>
    <font>
      <b/>
      <sz val="11"/>
      <color rgb="FF000000"/>
      <name val="Aptos Narrow"/>
      <scheme val="minor"/>
    </font>
    <font>
      <sz val="11"/>
      <color rgb="FF000000"/>
      <name val="Aptos Narrow"/>
      <scheme val="minor"/>
    </font>
    <font>
      <b/>
      <sz val="11"/>
      <color rgb="FF000000"/>
      <name val="Calibri"/>
    </font>
    <font>
      <sz val="11"/>
      <color theme="1"/>
      <name val="Calibri"/>
    </font>
    <font>
      <i/>
      <sz val="11"/>
      <color rgb="FF000000"/>
      <name val="Calibri"/>
    </font>
    <font>
      <i/>
      <sz val="11"/>
      <color theme="1"/>
      <name val="Calibri"/>
    </font>
    <font>
      <b/>
      <i/>
      <sz val="11"/>
      <color rgb="FF000000"/>
      <name val="Calibri"/>
    </font>
    <font>
      <b/>
      <i/>
      <sz val="11"/>
      <color theme="1"/>
      <name val="Calibri"/>
    </font>
    <font>
      <i/>
      <sz val="11"/>
      <color rgb="FF000000"/>
      <name val="Calibri"/>
      <family val="2"/>
    </font>
    <font>
      <sz val="11"/>
      <color theme="1"/>
      <name val="Arial"/>
    </font>
    <font>
      <b/>
      <sz val="11"/>
      <color rgb="FF3F3F76"/>
      <name val="Arial"/>
    </font>
    <font>
      <b/>
      <sz val="11"/>
      <color theme="1"/>
      <name val="Aptos Narrow"/>
      <family val="2"/>
      <scheme val="minor"/>
    </font>
    <font>
      <b/>
      <sz val="11"/>
      <color rgb="FF000000"/>
      <name val="Calibri"/>
      <family val="2"/>
    </font>
    <font>
      <sz val="11"/>
      <color rgb="FF000000"/>
      <name val="Aptos Narrow"/>
      <family val="2"/>
      <scheme val="minor"/>
    </font>
    <font>
      <b/>
      <sz val="11"/>
      <color theme="0"/>
      <name val="Calibri"/>
    </font>
    <font>
      <b/>
      <sz val="11"/>
      <color theme="0"/>
      <name val="Calibri"/>
      <family val="2"/>
    </font>
  </fonts>
  <fills count="22">
    <fill>
      <patternFill patternType="none"/>
    </fill>
    <fill>
      <patternFill patternType="gray125"/>
    </fill>
    <fill>
      <patternFill patternType="solid">
        <fgColor rgb="FFFFCC99"/>
        <bgColor rgb="FF000000"/>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D4"/>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E4F7F7"/>
        <bgColor indexed="64"/>
      </patternFill>
    </fill>
    <fill>
      <patternFill patternType="solid">
        <fgColor theme="0"/>
        <bgColor indexed="64"/>
      </patternFill>
    </fill>
    <fill>
      <patternFill patternType="solid">
        <fgColor rgb="FFFCFCCF"/>
        <bgColor indexed="64"/>
      </patternFill>
    </fill>
    <fill>
      <patternFill patternType="solid">
        <fgColor rgb="FFFFFF00"/>
        <bgColor indexed="64"/>
      </patternFill>
    </fill>
    <fill>
      <patternFill patternType="solid">
        <fgColor rgb="FFEBFFED"/>
        <bgColor indexed="64"/>
      </patternFill>
    </fill>
    <fill>
      <patternFill patternType="solid">
        <fgColor theme="2"/>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0000"/>
        <bgColor indexed="64"/>
      </patternFill>
    </fill>
    <fill>
      <patternFill patternType="solid">
        <fgColor rgb="FF7030A0"/>
        <bgColor indexed="64"/>
      </patternFill>
    </fill>
  </fills>
  <borders count="29">
    <border>
      <left/>
      <right/>
      <top/>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indexed="64"/>
      </left>
      <right style="thin">
        <color rgb="FF000000"/>
      </right>
      <top/>
      <bottom/>
      <diagonal/>
    </border>
    <border>
      <left style="dotted">
        <color indexed="64"/>
      </left>
      <right/>
      <top/>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dotted">
        <color indexed="64"/>
      </bottom>
      <diagonal/>
    </border>
    <border>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right style="dotted">
        <color indexed="64"/>
      </right>
      <top style="dotted">
        <color indexed="64"/>
      </top>
      <bottom style="dotted">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indexed="64"/>
      </left>
      <right/>
      <top style="thin">
        <color indexed="64"/>
      </top>
      <bottom style="thin">
        <color indexed="64"/>
      </bottom>
      <diagonal/>
    </border>
    <border>
      <left style="dotted">
        <color indexed="64"/>
      </left>
      <right/>
      <top style="thin">
        <color indexed="64"/>
      </top>
      <bottom style="dotted">
        <color indexed="64"/>
      </bottom>
      <diagonal/>
    </border>
    <border>
      <left style="dotted">
        <color indexed="64"/>
      </left>
      <right/>
      <top style="dotted">
        <color indexed="64"/>
      </top>
      <bottom style="dotted">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2" fillId="0" borderId="0" applyNumberFormat="0" applyFill="0" applyBorder="0" applyAlignment="0" applyProtection="0"/>
  </cellStyleXfs>
  <cellXfs count="214">
    <xf numFmtId="0" fontId="0" fillId="0" borderId="0" xfId="0"/>
    <xf numFmtId="0" fontId="2" fillId="0" borderId="0" xfId="1"/>
    <xf numFmtId="0" fontId="3" fillId="0" borderId="2" xfId="0" applyFont="1" applyBorder="1"/>
    <xf numFmtId="0" fontId="3" fillId="0" borderId="12" xfId="0" applyFont="1" applyBorder="1"/>
    <xf numFmtId="0" fontId="4" fillId="0" borderId="0" xfId="0" applyFont="1"/>
    <xf numFmtId="0" fontId="4" fillId="0" borderId="0" xfId="0" applyFont="1" applyAlignment="1">
      <alignment wrapText="1"/>
    </xf>
    <xf numFmtId="0" fontId="3" fillId="0" borderId="2" xfId="0" applyFont="1" applyBorder="1" applyAlignment="1">
      <alignment wrapText="1"/>
    </xf>
    <xf numFmtId="0" fontId="3" fillId="0" borderId="12" xfId="0" applyFont="1" applyBorder="1" applyAlignment="1">
      <alignment wrapText="1"/>
    </xf>
    <xf numFmtId="0" fontId="0" fillId="0" borderId="0" xfId="0" applyAlignment="1">
      <alignment wrapText="1"/>
    </xf>
    <xf numFmtId="0" fontId="5" fillId="0" borderId="0" xfId="0" applyFont="1"/>
    <xf numFmtId="0" fontId="5" fillId="0" borderId="0" xfId="0" applyFont="1" applyAlignment="1">
      <alignment wrapText="1"/>
    </xf>
    <xf numFmtId="0" fontId="0" fillId="0" borderId="0" xfId="0">
      <extLst>
        <ext xmlns:xfpb="http://schemas.microsoft.com/office/spreadsheetml/2022/featurepropertybag" uri="{C7286773-470A-42A8-94C5-96B5CB345126}">
          <xfpb:xfComplement i="0"/>
        </ext>
      </extLst>
    </xf>
    <xf numFmtId="0" fontId="8" fillId="0" borderId="0" xfId="0" applyFont="1"/>
    <xf numFmtId="0" fontId="10" fillId="0" borderId="0" xfId="0" applyFont="1"/>
    <xf numFmtId="0" fontId="0" fillId="3" borderId="0" xfId="0" applyFill="1">
      <extLst>
        <ext xmlns:xfpb="http://schemas.microsoft.com/office/spreadsheetml/2022/featurepropertybag" uri="{C7286773-470A-42A8-94C5-96B5CB345126}">
          <xfpb:xfComplement i="0"/>
        </ext>
      </extLst>
    </xf>
    <xf numFmtId="0" fontId="0" fillId="3" borderId="0" xfId="0" applyFill="1"/>
    <xf numFmtId="0" fontId="7" fillId="3" borderId="13" xfId="0" applyFont="1" applyFill="1" applyBorder="1" applyAlignment="1">
      <alignment wrapText="1"/>
    </xf>
    <xf numFmtId="0" fontId="6" fillId="0" borderId="14" xfId="0" applyFont="1" applyBorder="1" applyAlignment="1">
      <alignment wrapText="1"/>
    </xf>
    <xf numFmtId="0" fontId="6" fillId="0" borderId="15" xfId="0" applyFont="1" applyBorder="1" applyAlignment="1">
      <alignment wrapText="1"/>
    </xf>
    <xf numFmtId="0" fontId="7" fillId="3" borderId="16" xfId="0" applyFont="1" applyFill="1" applyBorder="1" applyAlignment="1">
      <alignment wrapText="1"/>
    </xf>
    <xf numFmtId="0" fontId="7" fillId="3" borderId="17" xfId="0" applyFont="1" applyFill="1" applyBorder="1" applyAlignment="1">
      <alignment wrapText="1"/>
    </xf>
    <xf numFmtId="0" fontId="7" fillId="3" borderId="19" xfId="0" applyFont="1" applyFill="1" applyBorder="1" applyAlignment="1">
      <alignment wrapText="1"/>
    </xf>
    <xf numFmtId="0" fontId="7" fillId="0" borderId="13" xfId="0" applyFont="1" applyBorder="1" applyAlignment="1">
      <alignment wrapText="1"/>
    </xf>
    <xf numFmtId="0" fontId="7" fillId="0" borderId="13" xfId="0" applyFont="1" applyBorder="1"/>
    <xf numFmtId="0" fontId="7" fillId="3" borderId="1" xfId="0" applyFont="1" applyFill="1" applyBorder="1" applyAlignment="1">
      <alignment wrapText="1"/>
    </xf>
    <xf numFmtId="0" fontId="8" fillId="0" borderId="13" xfId="0" applyFont="1" applyBorder="1" applyAlignment="1">
      <alignment wrapText="1"/>
    </xf>
    <xf numFmtId="0" fontId="7" fillId="0" borderId="18" xfId="0" applyFont="1" applyBorder="1" applyAlignment="1">
      <alignment wrapText="1"/>
    </xf>
    <xf numFmtId="0" fontId="8" fillId="0" borderId="18" xfId="0" applyFont="1" applyBorder="1" applyAlignment="1">
      <alignment wrapText="1"/>
    </xf>
    <xf numFmtId="0" fontId="12" fillId="9" borderId="13" xfId="0" applyFont="1" applyFill="1" applyBorder="1" applyAlignment="1">
      <alignment horizontal="center" vertical="center" wrapText="1"/>
    </xf>
    <xf numFmtId="0" fontId="9" fillId="0" borderId="13" xfId="0" applyFont="1" applyBorder="1" applyAlignment="1">
      <alignment wrapText="1"/>
    </xf>
    <xf numFmtId="0" fontId="7" fillId="0" borderId="19" xfId="0" applyFont="1" applyBorder="1" applyAlignment="1">
      <alignment wrapText="1"/>
    </xf>
    <xf numFmtId="0" fontId="8" fillId="0" borderId="19" xfId="0" applyFont="1" applyBorder="1" applyAlignment="1">
      <alignment wrapText="1"/>
    </xf>
    <xf numFmtId="0" fontId="7" fillId="3" borderId="21" xfId="0" applyFont="1" applyFill="1" applyBorder="1" applyAlignment="1">
      <alignment wrapText="1"/>
    </xf>
    <xf numFmtId="0" fontId="7" fillId="3" borderId="20" xfId="0" applyFont="1" applyFill="1" applyBorder="1" applyAlignment="1">
      <alignment wrapText="1"/>
    </xf>
    <xf numFmtId="0" fontId="7" fillId="0" borderId="16" xfId="0" applyFont="1" applyBorder="1" applyAlignment="1">
      <alignment wrapText="1"/>
    </xf>
    <xf numFmtId="0" fontId="7" fillId="0" borderId="17" xfId="0" applyFont="1" applyBorder="1" applyAlignment="1">
      <alignment wrapText="1"/>
    </xf>
    <xf numFmtId="0" fontId="0" fillId="0" borderId="13" xfId="0" applyBorder="1"/>
    <xf numFmtId="0" fontId="0" fillId="0" borderId="13" xfId="0" applyBorder="1" applyAlignment="1">
      <alignment wrapText="1"/>
    </xf>
    <xf numFmtId="0" fontId="3" fillId="0" borderId="14" xfId="0" applyFont="1" applyBorder="1"/>
    <xf numFmtId="0" fontId="3" fillId="0" borderId="15" xfId="0" applyFont="1" applyBorder="1"/>
    <xf numFmtId="0" fontId="0" fillId="0" borderId="16" xfId="0" applyBorder="1"/>
    <xf numFmtId="0" fontId="0" fillId="0" borderId="17" xfId="0" applyBorder="1"/>
    <xf numFmtId="0" fontId="0" fillId="0" borderId="18" xfId="0" applyBorder="1" applyAlignment="1">
      <alignment wrapText="1"/>
    </xf>
    <xf numFmtId="0" fontId="14" fillId="0" borderId="13" xfId="0" applyFont="1" applyBorder="1" applyAlignment="1">
      <alignment wrapText="1"/>
    </xf>
    <xf numFmtId="0" fontId="3" fillId="0" borderId="15" xfId="0" applyFont="1" applyBorder="1" applyAlignment="1">
      <alignment horizontal="center"/>
    </xf>
    <xf numFmtId="0" fontId="0" fillId="0" borderId="17" xfId="0" applyBorder="1" applyAlignment="1">
      <alignment wrapText="1"/>
    </xf>
    <xf numFmtId="0" fontId="3" fillId="0" borderId="2" xfId="0" applyFont="1" applyBorder="1" applyAlignment="1">
      <alignment horizontal="center"/>
    </xf>
    <xf numFmtId="0" fontId="3" fillId="0" borderId="12" xfId="0" applyFont="1" applyBorder="1" applyAlignment="1">
      <alignment horizontal="center"/>
    </xf>
    <xf numFmtId="0" fontId="0" fillId="0" borderId="0" xfId="0" applyAlignment="1">
      <alignment horizontal="center"/>
    </xf>
    <xf numFmtId="0" fontId="4" fillId="10" borderId="0" xfId="0" applyFont="1" applyFill="1"/>
    <xf numFmtId="0" fontId="4" fillId="8" borderId="0" xfId="0" applyFont="1" applyFill="1"/>
    <xf numFmtId="0" fontId="4" fillId="5" borderId="0" xfId="0" applyFont="1" applyFill="1"/>
    <xf numFmtId="0" fontId="4" fillId="11" borderId="0" xfId="0" applyFont="1" applyFill="1"/>
    <xf numFmtId="0" fontId="4" fillId="3" borderId="0" xfId="0" applyFont="1" applyFill="1" applyAlignment="1">
      <alignment wrapText="1"/>
    </xf>
    <xf numFmtId="0" fontId="4" fillId="12" borderId="0" xfId="0" applyFont="1" applyFill="1"/>
    <xf numFmtId="0" fontId="15" fillId="0" borderId="12" xfId="0" applyFont="1" applyBorder="1" applyAlignment="1">
      <alignment horizontal="center"/>
    </xf>
    <xf numFmtId="0" fontId="3" fillId="0" borderId="12" xfId="0" applyFont="1" applyBorder="1" applyAlignment="1">
      <alignment horizontal="center" wrapText="1"/>
    </xf>
    <xf numFmtId="0" fontId="4" fillId="5" borderId="13" xfId="0" applyFont="1" applyFill="1" applyBorder="1"/>
    <xf numFmtId="0" fontId="4" fillId="0" borderId="13" xfId="0" applyFont="1" applyBorder="1"/>
    <xf numFmtId="0" fontId="4" fillId="0" borderId="13" xfId="0" applyFont="1" applyBorder="1" applyAlignment="1">
      <alignment wrapText="1"/>
    </xf>
    <xf numFmtId="0" fontId="4" fillId="13" borderId="13" xfId="0" applyFont="1" applyFill="1" applyBorder="1"/>
    <xf numFmtId="0" fontId="4" fillId="13" borderId="13" xfId="0" applyFont="1" applyFill="1" applyBorder="1" applyAlignment="1">
      <alignment wrapText="1"/>
    </xf>
    <xf numFmtId="0" fontId="4" fillId="10" borderId="13" xfId="0" applyFont="1" applyFill="1" applyBorder="1"/>
    <xf numFmtId="0" fontId="4" fillId="8" borderId="13" xfId="0" applyFont="1" applyFill="1" applyBorder="1"/>
    <xf numFmtId="0" fontId="4" fillId="11" borderId="13" xfId="0" applyFont="1" applyFill="1" applyBorder="1"/>
    <xf numFmtId="0" fontId="4" fillId="3" borderId="13" xfId="0" applyFont="1" applyFill="1" applyBorder="1" applyAlignment="1">
      <alignment wrapText="1"/>
    </xf>
    <xf numFmtId="0" fontId="3" fillId="0" borderId="14" xfId="0" applyFont="1" applyBorder="1" applyAlignment="1">
      <alignment horizontal="center"/>
    </xf>
    <xf numFmtId="0" fontId="15" fillId="0" borderId="15" xfId="0" applyFont="1" applyBorder="1" applyAlignment="1">
      <alignment horizontal="center"/>
    </xf>
    <xf numFmtId="0" fontId="3" fillId="0" borderId="15" xfId="0" applyFont="1" applyBorder="1" applyAlignment="1">
      <alignment horizontal="center" wrapText="1"/>
    </xf>
    <xf numFmtId="0" fontId="5" fillId="0" borderId="17" xfId="0" applyFont="1" applyBorder="1" applyAlignment="1">
      <alignment vertical="center" wrapText="1"/>
    </xf>
    <xf numFmtId="0" fontId="5" fillId="0" borderId="18" xfId="0" applyFont="1" applyBorder="1" applyAlignment="1">
      <alignment horizontal="center" vertical="center"/>
    </xf>
    <xf numFmtId="0" fontId="5" fillId="0" borderId="13" xfId="0" applyFont="1" applyBorder="1" applyAlignment="1">
      <alignment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5" fillId="0" borderId="13" xfId="0" applyFont="1" applyBorder="1" applyAlignment="1">
      <alignment vertical="center" wrapText="1"/>
    </xf>
    <xf numFmtId="0" fontId="5" fillId="0" borderId="13" xfId="0" applyFont="1" applyBorder="1" applyAlignment="1">
      <alignment horizontal="center" vertical="center"/>
    </xf>
    <xf numFmtId="0" fontId="16" fillId="0" borderId="0" xfId="0" applyFont="1" applyAlignment="1">
      <alignment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15" fillId="0" borderId="15" xfId="0" applyFont="1" applyBorder="1" applyAlignment="1">
      <alignment horizontal="center" vertical="center"/>
    </xf>
    <xf numFmtId="0" fontId="3" fillId="0" borderId="15" xfId="0" applyFont="1" applyBorder="1" applyAlignment="1">
      <alignment horizontal="center" vertical="center" wrapText="1"/>
    </xf>
    <xf numFmtId="0" fontId="16" fillId="0" borderId="0" xfId="0" applyFont="1" applyAlignment="1">
      <alignment vertical="center"/>
      <extLst>
        <ext xmlns:xfpb="http://schemas.microsoft.com/office/spreadsheetml/2022/featurepropertybag" uri="{C7286773-470A-42A8-94C5-96B5CB345126}">
          <xfpb:xfComplement i="0"/>
        </ext>
      </extLst>
    </xf>
    <xf numFmtId="0" fontId="5" fillId="0" borderId="16" xfId="0" applyFont="1" applyBorder="1" applyAlignment="1">
      <alignment vertical="center"/>
    </xf>
    <xf numFmtId="0" fontId="5" fillId="0" borderId="0" xfId="0" applyFont="1" applyAlignment="1">
      <alignment vertical="center"/>
    </xf>
    <xf numFmtId="0" fontId="4" fillId="0" borderId="0" xfId="0" applyFont="1" applyAlignment="1">
      <alignment vertical="center" wrapText="1"/>
    </xf>
    <xf numFmtId="0" fontId="16" fillId="0" borderId="13" xfId="0" applyFont="1" applyBorder="1" applyAlignment="1">
      <alignment vertical="center"/>
    </xf>
    <xf numFmtId="0" fontId="16" fillId="0" borderId="13" xfId="0" applyFont="1" applyBorder="1" applyAlignment="1">
      <alignment vertical="center" wrapText="1"/>
    </xf>
    <xf numFmtId="0" fontId="5" fillId="13" borderId="13" xfId="0" applyFont="1" applyFill="1" applyBorder="1" applyAlignment="1">
      <alignment vertical="center" wrapText="1"/>
    </xf>
    <xf numFmtId="0" fontId="5" fillId="13" borderId="13" xfId="0" applyFont="1" applyFill="1" applyBorder="1" applyAlignment="1">
      <alignment vertical="center"/>
    </xf>
    <xf numFmtId="0" fontId="4" fillId="0" borderId="13" xfId="0" applyFont="1" applyBorder="1" applyAlignment="1">
      <alignment vertical="center" wrapText="1"/>
    </xf>
    <xf numFmtId="0" fontId="16" fillId="0" borderId="16" xfId="0" applyFont="1" applyBorder="1" applyAlignment="1">
      <alignment vertical="center"/>
    </xf>
    <xf numFmtId="0" fontId="5" fillId="0" borderId="18" xfId="0" applyFont="1" applyBorder="1" applyAlignment="1">
      <alignment vertical="center" wrapText="1"/>
    </xf>
    <xf numFmtId="0" fontId="16" fillId="0" borderId="19" xfId="0" applyFont="1" applyBorder="1" applyAlignment="1">
      <alignment vertical="center" wrapText="1"/>
    </xf>
    <xf numFmtId="0" fontId="17" fillId="0" borderId="13" xfId="0" applyFont="1" applyBorder="1" applyAlignment="1">
      <alignment vertical="center" wrapText="1"/>
    </xf>
    <xf numFmtId="0" fontId="19" fillId="0" borderId="13" xfId="0" applyFont="1" applyBorder="1" applyAlignment="1">
      <alignment vertical="center"/>
    </xf>
    <xf numFmtId="0" fontId="5" fillId="0" borderId="17" xfId="0" applyFont="1" applyBorder="1" applyAlignment="1">
      <alignment vertical="center"/>
    </xf>
    <xf numFmtId="0" fontId="21" fillId="0" borderId="0" xfId="0" applyFont="1" applyAlignment="1">
      <alignment vertical="center" wrapText="1"/>
    </xf>
    <xf numFmtId="0" fontId="18" fillId="0" borderId="13" xfId="0" applyFont="1" applyBorder="1" applyAlignment="1">
      <alignment vertical="center" wrapText="1"/>
    </xf>
    <xf numFmtId="0" fontId="18" fillId="0" borderId="0" xfId="0" applyFont="1" applyAlignment="1">
      <alignment vertical="center" wrapText="1"/>
    </xf>
    <xf numFmtId="0" fontId="22" fillId="0" borderId="0" xfId="0" applyFont="1"/>
    <xf numFmtId="0" fontId="22" fillId="0" borderId="7" xfId="0" applyFont="1" applyBorder="1"/>
    <xf numFmtId="0" fontId="22" fillId="0" borderId="7" xfId="0" applyFont="1" applyBorder="1" applyAlignment="1">
      <alignment wrapText="1"/>
    </xf>
    <xf numFmtId="0" fontId="22" fillId="0" borderId="6" xfId="0" applyFont="1" applyBorder="1"/>
    <xf numFmtId="0" fontId="22" fillId="0" borderId="9" xfId="0" applyFont="1" applyBorder="1"/>
    <xf numFmtId="0" fontId="22" fillId="0" borderId="10" xfId="0" applyFont="1" applyBorder="1"/>
    <xf numFmtId="0" fontId="22" fillId="0" borderId="11" xfId="0" applyFont="1" applyBorder="1"/>
    <xf numFmtId="0" fontId="22" fillId="0" borderId="8" xfId="0" applyFont="1" applyBorder="1"/>
    <xf numFmtId="0" fontId="23" fillId="2" borderId="4"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2" fillId="15" borderId="2" xfId="0" applyFont="1" applyFill="1" applyBorder="1" applyAlignment="1">
      <alignment vertical="center"/>
    </xf>
    <xf numFmtId="0" fontId="22" fillId="15" borderId="2" xfId="0" applyFont="1" applyFill="1" applyBorder="1" applyAlignment="1">
      <alignment horizontal="center" vertical="center"/>
    </xf>
    <xf numFmtId="0" fontId="22" fillId="0" borderId="0" xfId="0" applyFont="1" applyAlignment="1">
      <alignment vertical="center"/>
    </xf>
    <xf numFmtId="0" fontId="5" fillId="0" borderId="1" xfId="0" applyFont="1" applyBorder="1" applyAlignment="1">
      <alignment vertical="center"/>
    </xf>
    <xf numFmtId="0" fontId="5" fillId="0" borderId="19" xfId="0" applyFont="1" applyBorder="1" applyAlignment="1">
      <alignment vertical="center"/>
    </xf>
    <xf numFmtId="0" fontId="5" fillId="13" borderId="1" xfId="0" applyFont="1" applyFill="1" applyBorder="1" applyAlignment="1">
      <alignment horizontal="left" vertical="center" wrapText="1"/>
    </xf>
    <xf numFmtId="0" fontId="5" fillId="13" borderId="19" xfId="0" applyFont="1" applyFill="1" applyBorder="1" applyAlignment="1">
      <alignment horizontal="left" vertical="center" wrapText="1"/>
    </xf>
    <xf numFmtId="0" fontId="19" fillId="16" borderId="13" xfId="0" applyFont="1" applyFill="1" applyBorder="1" applyAlignment="1">
      <alignment horizontal="center" vertical="center" wrapText="1"/>
    </xf>
    <xf numFmtId="0" fontId="16" fillId="17" borderId="0" xfId="0" applyFont="1" applyFill="1" applyAlignment="1">
      <alignment vertical="center"/>
      <extLst>
        <ext xmlns:xfpb="http://schemas.microsoft.com/office/spreadsheetml/2022/featurepropertybag" uri="{C7286773-470A-42A8-94C5-96B5CB345126}">
          <xfpb:xfComplement i="0"/>
        </ext>
      </extLst>
    </xf>
    <xf numFmtId="0" fontId="5" fillId="17" borderId="1" xfId="0" applyFont="1" applyFill="1" applyBorder="1" applyAlignment="1">
      <alignment horizontal="center" vertical="center"/>
    </xf>
    <xf numFmtId="0" fontId="5" fillId="17" borderId="13" xfId="0" applyFont="1" applyFill="1" applyBorder="1" applyAlignment="1">
      <alignment vertical="center"/>
    </xf>
    <xf numFmtId="0" fontId="5" fillId="17" borderId="13" xfId="0" applyFont="1" applyFill="1" applyBorder="1" applyAlignment="1">
      <alignment vertical="center" wrapText="1"/>
    </xf>
    <xf numFmtId="0" fontId="17" fillId="17" borderId="13" xfId="0" applyFont="1" applyFill="1" applyBorder="1" applyAlignment="1">
      <alignment vertical="center" wrapText="1"/>
    </xf>
    <xf numFmtId="0" fontId="16" fillId="17" borderId="0" xfId="0" applyFont="1" applyFill="1" applyAlignment="1">
      <alignment vertical="center"/>
    </xf>
    <xf numFmtId="0" fontId="5" fillId="0" borderId="22" xfId="0" applyFont="1" applyBorder="1" applyAlignment="1">
      <alignment vertical="center"/>
    </xf>
    <xf numFmtId="0" fontId="17" fillId="0" borderId="17" xfId="0" applyFont="1" applyBorder="1" applyAlignment="1">
      <alignment vertical="center" wrapText="1"/>
    </xf>
    <xf numFmtId="0" fontId="5" fillId="0" borderId="2" xfId="0" applyFont="1" applyBorder="1" applyAlignment="1">
      <alignment horizontal="center" vertical="center" wrapText="1"/>
    </xf>
    <xf numFmtId="0" fontId="5" fillId="0" borderId="22" xfId="0" applyFont="1" applyBorder="1" applyAlignment="1">
      <alignment vertical="center" wrapText="1"/>
    </xf>
    <xf numFmtId="0" fontId="0" fillId="0" borderId="2" xfId="0" applyBorder="1" applyAlignment="1">
      <alignment wrapText="1"/>
    </xf>
    <xf numFmtId="0" fontId="0" fillId="0" borderId="2" xfId="0" applyBorder="1" applyAlignment="1">
      <alignment horizontal="center" vertical="center" wrapText="1"/>
    </xf>
    <xf numFmtId="0" fontId="0" fillId="0" borderId="0" xfId="0" applyAlignment="1">
      <alignment horizontal="center" vertical="center" wrapText="1"/>
    </xf>
    <xf numFmtId="0" fontId="26" fillId="0" borderId="2" xfId="0" applyFont="1" applyBorder="1" applyAlignment="1">
      <alignment wrapText="1"/>
    </xf>
    <xf numFmtId="0" fontId="26" fillId="0" borderId="12" xfId="0" applyFont="1" applyBorder="1" applyAlignment="1">
      <alignment wrapText="1"/>
    </xf>
    <xf numFmtId="0" fontId="25" fillId="10" borderId="2" xfId="0" applyFont="1" applyFill="1" applyBorder="1" applyAlignment="1">
      <alignment horizontal="center" vertical="center" wrapText="1"/>
    </xf>
    <xf numFmtId="0" fontId="25" fillId="19" borderId="13" xfId="0" applyFont="1" applyFill="1" applyBorder="1" applyAlignment="1">
      <alignment vertical="center" wrapText="1"/>
    </xf>
    <xf numFmtId="0" fontId="24" fillId="19" borderId="2" xfId="0" applyFont="1" applyFill="1" applyBorder="1" applyAlignment="1">
      <alignment wrapText="1"/>
    </xf>
    <xf numFmtId="0" fontId="24" fillId="20" borderId="2" xfId="0" applyFont="1" applyFill="1" applyBorder="1" applyAlignment="1">
      <alignment wrapText="1"/>
    </xf>
    <xf numFmtId="0" fontId="24" fillId="0" borderId="2" xfId="0" applyFont="1" applyBorder="1" applyAlignment="1">
      <alignment wrapText="1"/>
    </xf>
    <xf numFmtId="0" fontId="24" fillId="0" borderId="0" xfId="0" applyFont="1" applyAlignment="1">
      <alignment wrapText="1"/>
    </xf>
    <xf numFmtId="0" fontId="27" fillId="21" borderId="14" xfId="0" applyFont="1" applyFill="1" applyBorder="1" applyAlignment="1">
      <alignment horizontal="center" vertical="center" wrapText="1"/>
    </xf>
    <xf numFmtId="0" fontId="27" fillId="21" borderId="15" xfId="0" applyFont="1" applyFill="1" applyBorder="1" applyAlignment="1">
      <alignment horizontal="center" vertical="center" wrapText="1"/>
    </xf>
    <xf numFmtId="0" fontId="28" fillId="21" borderId="15" xfId="0" applyFont="1" applyFill="1" applyBorder="1" applyAlignment="1">
      <alignment horizontal="center" vertical="center" wrapText="1"/>
    </xf>
    <xf numFmtId="0" fontId="24" fillId="18" borderId="14" xfId="0" applyFont="1" applyFill="1" applyBorder="1" applyAlignment="1">
      <alignment horizontal="center" vertical="center" wrapText="1"/>
    </xf>
    <xf numFmtId="0" fontId="24" fillId="18" borderId="27" xfId="0" applyFont="1" applyFill="1" applyBorder="1" applyAlignment="1">
      <alignment horizontal="center" vertical="center" wrapText="1"/>
    </xf>
    <xf numFmtId="0" fontId="24" fillId="18" borderId="28" xfId="0" applyFont="1" applyFill="1" applyBorder="1" applyAlignment="1">
      <alignment horizontal="center" vertical="center" wrapText="1"/>
    </xf>
    <xf numFmtId="0" fontId="24" fillId="11" borderId="14" xfId="0" applyFont="1" applyFill="1" applyBorder="1" applyAlignment="1">
      <alignment horizontal="center" vertical="center" wrapText="1"/>
    </xf>
    <xf numFmtId="0" fontId="24" fillId="11" borderId="27" xfId="0" applyFont="1" applyFill="1" applyBorder="1" applyAlignment="1">
      <alignment horizontal="center" vertical="center" wrapText="1"/>
    </xf>
    <xf numFmtId="0" fontId="24" fillId="11" borderId="28" xfId="0" applyFont="1" applyFill="1" applyBorder="1" applyAlignment="1">
      <alignment horizontal="center" vertical="center" wrapText="1"/>
    </xf>
    <xf numFmtId="0" fontId="0" fillId="4" borderId="14" xfId="0" applyFill="1" applyBorder="1" applyAlignment="1">
      <alignment horizontal="center" vertical="center" wrapText="1"/>
    </xf>
    <xf numFmtId="0" fontId="0" fillId="4" borderId="27" xfId="0" applyFill="1" applyBorder="1" applyAlignment="1">
      <alignment horizontal="center" vertical="center" wrapText="1"/>
    </xf>
    <xf numFmtId="0" fontId="0" fillId="4" borderId="28" xfId="0" applyFill="1" applyBorder="1" applyAlignment="1">
      <alignment horizontal="center" vertical="center" wrapText="1"/>
    </xf>
    <xf numFmtId="0" fontId="22" fillId="15" borderId="24" xfId="0" applyFont="1" applyFill="1" applyBorder="1" applyAlignment="1">
      <alignment horizontal="center" vertical="center"/>
    </xf>
    <xf numFmtId="0" fontId="22" fillId="15" borderId="12" xfId="0" applyFont="1" applyFill="1" applyBorder="1" applyAlignment="1">
      <alignment horizontal="center" vertical="center"/>
    </xf>
    <xf numFmtId="0" fontId="22" fillId="0" borderId="25" xfId="0" applyFont="1" applyBorder="1" applyAlignment="1">
      <alignment horizontal="left" wrapText="1"/>
    </xf>
    <xf numFmtId="0" fontId="22" fillId="0" borderId="9" xfId="0" applyFont="1" applyBorder="1" applyAlignment="1">
      <alignment horizontal="left" wrapText="1"/>
    </xf>
    <xf numFmtId="0" fontId="22" fillId="0" borderId="26" xfId="0" applyFont="1" applyBorder="1" applyAlignment="1">
      <alignment horizontal="center"/>
    </xf>
    <xf numFmtId="0" fontId="22" fillId="0" borderId="11" xfId="0" applyFont="1" applyBorder="1" applyAlignment="1">
      <alignment horizontal="center"/>
    </xf>
    <xf numFmtId="0" fontId="23" fillId="2" borderId="4" xfId="0" applyFont="1" applyFill="1" applyBorder="1" applyAlignment="1">
      <alignment horizontal="center" vertical="center" wrapText="1"/>
    </xf>
    <xf numFmtId="0" fontId="23" fillId="2" borderId="1" xfId="0" applyFont="1" applyFill="1" applyBorder="1" applyAlignment="1">
      <alignment horizontal="center" vertical="center" wrapText="1"/>
    </xf>
    <xf numFmtId="0" fontId="23" fillId="2" borderId="3" xfId="0" applyFont="1" applyFill="1" applyBorder="1" applyAlignment="1">
      <alignment horizontal="center" vertical="center" wrapText="1"/>
    </xf>
    <xf numFmtId="0" fontId="23" fillId="2" borderId="5" xfId="0" applyFont="1" applyFill="1" applyBorder="1" applyAlignment="1">
      <alignment horizontal="center" vertical="center" wrapText="1"/>
    </xf>
    <xf numFmtId="0" fontId="23" fillId="2" borderId="4" xfId="0" applyFont="1" applyFill="1" applyBorder="1" applyAlignment="1">
      <alignment horizontal="center" vertical="center"/>
    </xf>
    <xf numFmtId="0" fontId="23" fillId="2" borderId="1" xfId="0" applyFont="1" applyFill="1" applyBorder="1" applyAlignment="1">
      <alignment horizontal="center" vertical="center"/>
    </xf>
    <xf numFmtId="0" fontId="11" fillId="4" borderId="22" xfId="0" applyFont="1" applyFill="1" applyBorder="1" applyAlignment="1">
      <alignment horizontal="center" vertical="center" wrapText="1"/>
    </xf>
    <xf numFmtId="0" fontId="11" fillId="4" borderId="13" xfId="0" applyFont="1" applyFill="1" applyBorder="1" applyAlignment="1">
      <alignment horizontal="center" vertical="center" wrapText="1"/>
    </xf>
    <xf numFmtId="0" fontId="11" fillId="5" borderId="13" xfId="0" applyFont="1" applyFill="1" applyBorder="1" applyAlignment="1">
      <alignment horizontal="center" vertical="center" wrapText="1"/>
    </xf>
    <xf numFmtId="0" fontId="11" fillId="6" borderId="13" xfId="0" applyFont="1" applyFill="1" applyBorder="1" applyAlignment="1">
      <alignment horizontal="center" vertical="center" wrapText="1"/>
    </xf>
    <xf numFmtId="0" fontId="11" fillId="7" borderId="13" xfId="0" applyFont="1" applyFill="1" applyBorder="1" applyAlignment="1">
      <alignment horizontal="center" vertical="center" wrapText="1"/>
    </xf>
    <xf numFmtId="0" fontId="7" fillId="7" borderId="13" xfId="0" applyFont="1" applyFill="1" applyBorder="1" applyAlignment="1">
      <alignment horizontal="center" vertical="center" wrapText="1"/>
    </xf>
    <xf numFmtId="0" fontId="11" fillId="8" borderId="19" xfId="0" applyFont="1" applyFill="1" applyBorder="1" applyAlignment="1">
      <alignment horizontal="center" vertical="center" wrapText="1"/>
    </xf>
    <xf numFmtId="0" fontId="7" fillId="8" borderId="18" xfId="0" applyFont="1" applyFill="1" applyBorder="1" applyAlignment="1">
      <alignment horizontal="center" vertical="center" wrapText="1"/>
    </xf>
    <xf numFmtId="0" fontId="16" fillId="0" borderId="18" xfId="0" applyFont="1" applyBorder="1" applyAlignment="1">
      <alignment horizontal="center" vertical="center"/>
    </xf>
    <xf numFmtId="0" fontId="16" fillId="0" borderId="1" xfId="0" applyFont="1" applyBorder="1" applyAlignment="1">
      <alignment horizontal="center" vertical="center"/>
    </xf>
    <xf numFmtId="0" fontId="16" fillId="0" borderId="19" xfId="0" applyFont="1" applyBorder="1" applyAlignment="1">
      <alignment horizontal="center" vertical="center"/>
    </xf>
    <xf numFmtId="0" fontId="20" fillId="14" borderId="18" xfId="0" applyFont="1" applyFill="1" applyBorder="1" applyAlignment="1">
      <alignment horizontal="center" vertical="center"/>
    </xf>
    <xf numFmtId="0" fontId="20" fillId="14" borderId="1" xfId="0" applyFont="1" applyFill="1" applyBorder="1" applyAlignment="1">
      <alignment horizontal="center" vertical="center"/>
    </xf>
    <xf numFmtId="0" fontId="20" fillId="14" borderId="19" xfId="0" applyFont="1" applyFill="1" applyBorder="1" applyAlignment="1">
      <alignment horizontal="center" vertical="center"/>
    </xf>
    <xf numFmtId="0" fontId="16" fillId="0" borderId="18" xfId="0" applyFont="1" applyBorder="1" applyAlignment="1">
      <alignment horizontal="left" vertical="center" wrapText="1"/>
    </xf>
    <xf numFmtId="0" fontId="16" fillId="0" borderId="1" xfId="0" applyFont="1" applyBorder="1" applyAlignment="1">
      <alignment horizontal="left" vertical="center" wrapText="1"/>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19" fillId="10" borderId="18" xfId="0" applyFont="1" applyFill="1" applyBorder="1" applyAlignment="1">
      <alignment horizontal="center" vertical="center"/>
    </xf>
    <xf numFmtId="0" fontId="19" fillId="10" borderId="1" xfId="0" applyFont="1" applyFill="1" applyBorder="1" applyAlignment="1">
      <alignment horizontal="center" vertical="center"/>
    </xf>
    <xf numFmtId="0" fontId="19" fillId="8" borderId="13" xfId="0" applyFont="1" applyFill="1" applyBorder="1" applyAlignment="1">
      <alignment horizontal="center" vertical="center"/>
    </xf>
    <xf numFmtId="0" fontId="5" fillId="0" borderId="18" xfId="0" applyFont="1" applyBorder="1" applyAlignment="1">
      <alignment horizontal="left" vertical="center" wrapText="1"/>
    </xf>
    <xf numFmtId="0" fontId="5" fillId="0" borderId="1" xfId="0" applyFont="1" applyBorder="1" applyAlignment="1">
      <alignment horizontal="left" vertical="center" wrapText="1"/>
    </xf>
    <xf numFmtId="0" fontId="5" fillId="0" borderId="19" xfId="0" applyFont="1" applyBorder="1" applyAlignment="1">
      <alignment horizontal="left" vertical="center" wrapText="1"/>
    </xf>
    <xf numFmtId="0" fontId="19" fillId="3" borderId="18" xfId="0" applyFont="1" applyFill="1" applyBorder="1" applyAlignment="1">
      <alignment horizontal="center" vertical="center" wrapText="1"/>
    </xf>
    <xf numFmtId="0" fontId="19" fillId="3" borderId="1"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5" fillId="0" borderId="18" xfId="0" applyFont="1" applyBorder="1" applyAlignment="1">
      <alignment horizontal="left" vertical="center"/>
    </xf>
    <xf numFmtId="0" fontId="5" fillId="0" borderId="1" xfId="0" applyFont="1" applyBorder="1" applyAlignment="1">
      <alignment horizontal="left" vertical="center"/>
    </xf>
    <xf numFmtId="0" fontId="5" fillId="0" borderId="19" xfId="0" applyFont="1" applyBorder="1" applyAlignment="1">
      <alignment horizontal="left" vertical="center"/>
    </xf>
    <xf numFmtId="0" fontId="19" fillId="5" borderId="18" xfId="0" applyFont="1" applyFill="1" applyBorder="1" applyAlignment="1">
      <alignment horizontal="center" vertical="center" wrapText="1"/>
    </xf>
    <xf numFmtId="0" fontId="19" fillId="5" borderId="1" xfId="0" applyFont="1" applyFill="1" applyBorder="1" applyAlignment="1">
      <alignment horizontal="center" vertical="center" wrapText="1"/>
    </xf>
    <xf numFmtId="0" fontId="19" fillId="5" borderId="23"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9" fillId="11" borderId="18" xfId="0" applyFont="1" applyFill="1" applyBorder="1" applyAlignment="1">
      <alignment horizontal="center" vertical="center"/>
    </xf>
    <xf numFmtId="0" fontId="19" fillId="11" borderId="1" xfId="0" applyFont="1" applyFill="1" applyBorder="1" applyAlignment="1">
      <alignment horizontal="center" vertical="center"/>
    </xf>
    <xf numFmtId="0" fontId="19" fillId="11" borderId="19" xfId="0" applyFont="1" applyFill="1" applyBorder="1" applyAlignment="1">
      <alignment horizontal="center" vertical="center"/>
    </xf>
    <xf numFmtId="0" fontId="5" fillId="0" borderId="18"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13" xfId="0" applyFont="1" applyBorder="1" applyAlignment="1">
      <alignment horizontal="left" vertical="center"/>
    </xf>
    <xf numFmtId="0" fontId="5" fillId="17" borderId="18" xfId="0" applyFont="1" applyFill="1" applyBorder="1" applyAlignment="1">
      <alignment horizontal="left" vertical="center"/>
    </xf>
    <xf numFmtId="0" fontId="5" fillId="17" borderId="1" xfId="0" applyFont="1" applyFill="1" applyBorder="1" applyAlignment="1">
      <alignment horizontal="left" vertical="center"/>
    </xf>
    <xf numFmtId="0" fontId="5" fillId="17" borderId="18" xfId="0" applyFont="1" applyFill="1" applyBorder="1" applyAlignment="1">
      <alignment horizontal="left" vertical="center" wrapText="1"/>
    </xf>
    <xf numFmtId="0" fontId="5" fillId="17" borderId="19" xfId="0" applyFont="1" applyFill="1" applyBorder="1" applyAlignment="1">
      <alignment horizontal="left" vertical="center" wrapText="1"/>
    </xf>
    <xf numFmtId="0" fontId="5" fillId="17" borderId="1" xfId="0" applyFont="1" applyFill="1" applyBorder="1" applyAlignment="1">
      <alignment horizontal="left" vertical="center" wrapText="1"/>
    </xf>
    <xf numFmtId="0" fontId="5" fillId="0" borderId="1" xfId="0" applyFont="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xf>
    <xf numFmtId="0" fontId="0" fillId="0" borderId="1" xfId="0" applyBorder="1" applyAlignment="1">
      <alignment horizontal="center" vertical="center"/>
    </xf>
    <xf numFmtId="0" fontId="0" fillId="0" borderId="19"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EBFFED"/>
      <color rgb="FFE9F2EA"/>
      <color rgb="FFABCCAF"/>
      <color rgb="FFFCFCCF"/>
      <color rgb="FFFCD2F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0</xdr:rowOff>
    </xdr:from>
    <xdr:to>
      <xdr:col>6</xdr:col>
      <xdr:colOff>1971675</xdr:colOff>
      <xdr:row>54</xdr:row>
      <xdr:rowOff>142875</xdr:rowOff>
    </xdr:to>
    <xdr:pic>
      <xdr:nvPicPr>
        <xdr:cNvPr id="2" name="Picture 1">
          <a:extLst>
            <a:ext uri="{FF2B5EF4-FFF2-40B4-BE49-F238E27FC236}">
              <a16:creationId xmlns:a16="http://schemas.microsoft.com/office/drawing/2014/main" id="{5CA99FFE-6D2D-1FEC-FF9E-9247CBDA2220}"/>
            </a:ext>
          </a:extLst>
        </xdr:cNvPr>
        <xdr:cNvPicPr>
          <a:picLocks noChangeAspect="1"/>
        </xdr:cNvPicPr>
      </xdr:nvPicPr>
      <xdr:blipFill>
        <a:blip xmlns:r="http://schemas.openxmlformats.org/officeDocument/2006/relationships" r:embed="rId1"/>
        <a:stretch>
          <a:fillRect/>
        </a:stretch>
      </xdr:blipFill>
      <xdr:spPr>
        <a:xfrm>
          <a:off x="0" y="28746450"/>
          <a:ext cx="7753350" cy="5476875"/>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Long Hoang" id="{BEA97290-9456-402A-BE97-14DAEA64E640}" userId="S::hoangbao@synopsys.com::5826c561-dfc3-4c7a-90a7-d29294c55f4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E15" dT="2026-02-06T02:22:00.15" personId="{BEA97290-9456-402A-BE97-14DAEA64E640}" id="{C6BB17AD-30B4-4AAE-8336-71BB003824D2}">
    <text>Thiếu test:
1. locked transfer</text>
  </threadedComment>
</ThreadedComments>
</file>

<file path=xl/threadedComments/threadedComment2.xml><?xml version="1.0" encoding="utf-8"?>
<ThreadedComments xmlns="http://schemas.microsoft.com/office/spreadsheetml/2018/threadedcomments" xmlns:x="http://schemas.openxmlformats.org/spreadsheetml/2006/main">
  <threadedComment ref="E33" dT="2026-02-06T02:22:00.15" personId="{BEA97290-9456-402A-BE97-14DAEA64E640}" id="{30EC1DF0-DC38-4487-A087-C47080D3548C}">
    <text>Thiếu test:
1. locked transfer</text>
  </threadedComment>
</ThreadedComments>
</file>

<file path=xl/threadedComments/threadedComment3.xml><?xml version="1.0" encoding="utf-8"?>
<ThreadedComments xmlns="http://schemas.microsoft.com/office/spreadsheetml/2018/threadedcomments" xmlns:x="http://schemas.openxmlformats.org/spreadsheetml/2006/main">
  <threadedComment ref="F11" dT="2026-02-06T02:22:00.15" personId="{BEA97290-9456-402A-BE97-14DAEA64E640}" id="{00A6D257-F791-4EFA-B238-A84CFBBE510E}">
    <text>Thiếu test:
1. locked transfer</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https://deepwiki.com/adki/AMBA_AXI_AHB_APB/3-ahb-protocol" TargetMode="External"/><Relationship Id="rId2" Type="http://schemas.openxmlformats.org/officeDocument/2006/relationships/hyperlink" Target="https://github.com/lucky-wfw/ARM_AMBA_Design/tree/main/AHB" TargetMode="External"/><Relationship Id="rId1" Type="http://schemas.openxmlformats.org/officeDocument/2006/relationships/hyperlink" Target="https://www.studocu.com/in/document/ramaiah-institute-of-technology/electrical/advanced-high-performance-bus-ahb-architecture-verification/69145061" TargetMode="External"/><Relationship Id="rId6" Type="http://schemas.openxmlformats.org/officeDocument/2006/relationships/hyperlink" Target="https://github.com/kashifminhas/AMBA-3-AHB-Lite/tree/main" TargetMode="External"/><Relationship Id="rId5" Type="http://schemas.openxmlformats.org/officeDocument/2006/relationships/hyperlink" Target="https://github.com/abhishekpatel9370/AHB-Protocol-Verification-SystemVerilog-OOP-Testbench" TargetMode="External"/><Relationship Id="rId4" Type="http://schemas.openxmlformats.org/officeDocument/2006/relationships/hyperlink" Target="https://github.com/designsolver/ahb3_uvm_tb/tree/master/ahb_slave_agent"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CEC0A-9287-4707-BC21-AE34D54E6A1C}">
  <dimension ref="A1:O21"/>
  <sheetViews>
    <sheetView workbookViewId="0">
      <selection activeCell="H8" sqref="H8"/>
    </sheetView>
  </sheetViews>
  <sheetFormatPr defaultRowHeight="14.25"/>
  <cols>
    <col min="1" max="1" width="9.5703125" style="99" customWidth="1"/>
    <col min="2" max="2" width="16.5703125" style="99" customWidth="1"/>
    <col min="3" max="3" width="29.42578125" style="99" customWidth="1"/>
    <col min="4" max="4" width="26.85546875" style="99" customWidth="1"/>
    <col min="5" max="5" width="23.5703125" style="99" customWidth="1"/>
    <col min="6" max="6" width="23.85546875" style="99" customWidth="1"/>
    <col min="7" max="10" width="30.7109375" style="99" customWidth="1"/>
    <col min="11" max="11" width="15.42578125" style="99" customWidth="1"/>
    <col min="12" max="12" width="19" style="99" customWidth="1"/>
    <col min="13" max="13" width="13.5703125" style="99" customWidth="1"/>
    <col min="14" max="14" width="21" style="99" customWidth="1"/>
    <col min="15" max="16384" width="9.140625" style="99"/>
  </cols>
  <sheetData>
    <row r="1" spans="1:15" s="111" customFormat="1" ht="23.25" customHeight="1">
      <c r="A1" s="158" t="s">
        <v>0</v>
      </c>
      <c r="B1" s="156" t="s">
        <v>1</v>
      </c>
      <c r="C1" s="156" t="s">
        <v>2</v>
      </c>
      <c r="D1" s="160" t="s">
        <v>3</v>
      </c>
      <c r="E1" s="160" t="s">
        <v>4</v>
      </c>
      <c r="F1" s="160" t="s">
        <v>5</v>
      </c>
      <c r="G1" s="160" t="s">
        <v>6</v>
      </c>
      <c r="H1" s="160" t="s">
        <v>7</v>
      </c>
      <c r="I1" s="107" t="s">
        <v>8</v>
      </c>
      <c r="J1" s="107" t="s">
        <v>9</v>
      </c>
      <c r="K1" s="156" t="s">
        <v>10</v>
      </c>
      <c r="L1" s="160" t="s">
        <v>11</v>
      </c>
      <c r="M1" s="156" t="s">
        <v>12</v>
      </c>
      <c r="N1" s="156" t="s">
        <v>13</v>
      </c>
    </row>
    <row r="2" spans="1:15" s="111" customFormat="1" ht="33.75" customHeight="1">
      <c r="A2" s="159"/>
      <c r="B2" s="157"/>
      <c r="C2" s="157"/>
      <c r="D2" s="161"/>
      <c r="E2" s="161"/>
      <c r="F2" s="161"/>
      <c r="G2" s="161"/>
      <c r="H2" s="161"/>
      <c r="I2" s="108" t="s">
        <v>14</v>
      </c>
      <c r="J2" s="108" t="s">
        <v>15</v>
      </c>
      <c r="K2" s="157"/>
      <c r="L2" s="161"/>
      <c r="M2" s="157"/>
      <c r="N2" s="157"/>
    </row>
    <row r="3" spans="1:15" ht="48" customHeight="1">
      <c r="A3" s="100">
        <v>1</v>
      </c>
      <c r="B3" s="100"/>
      <c r="C3" s="100" t="s">
        <v>16</v>
      </c>
      <c r="D3" s="100" t="s">
        <v>17</v>
      </c>
      <c r="E3" s="100" t="s">
        <v>18</v>
      </c>
      <c r="F3" s="100"/>
      <c r="G3" s="101" t="str">
        <f>CONCATENATE("Single burst write transfer with the ",E3 )</f>
        <v>Single burst write transfer with the address = 'h0000</v>
      </c>
      <c r="H3" s="101" t="s">
        <v>19</v>
      </c>
      <c r="I3" s="101" t="s">
        <v>20</v>
      </c>
      <c r="J3" s="101" t="e">
        <f>#REF!</f>
        <v>#REF!</v>
      </c>
      <c r="K3" s="100"/>
      <c r="L3" s="100"/>
      <c r="M3" s="100"/>
      <c r="N3" s="100"/>
    </row>
    <row r="4" spans="1:15" ht="48" customHeight="1">
      <c r="A4" s="100"/>
      <c r="B4" s="100"/>
      <c r="C4" s="100"/>
      <c r="D4" s="100"/>
      <c r="E4" s="100" t="s">
        <v>21</v>
      </c>
      <c r="F4" s="100"/>
      <c r="G4" s="101" t="str">
        <f t="shared" ref="G4:G5" si="0">CONCATENATE("Single burst write transfer with the ",E4 )</f>
        <v>Single burst write transfer with the address = 'hFFFF</v>
      </c>
      <c r="H4" s="101" t="s">
        <v>22</v>
      </c>
      <c r="I4" s="101"/>
      <c r="J4" s="100"/>
      <c r="K4" s="100"/>
      <c r="L4" s="100"/>
      <c r="M4" s="100"/>
      <c r="N4" s="100"/>
    </row>
    <row r="5" spans="1:15" ht="44.25" customHeight="1">
      <c r="A5" s="100"/>
      <c r="B5" s="100"/>
      <c r="C5" s="100"/>
      <c r="D5" s="100"/>
      <c r="E5" s="100" t="s">
        <v>23</v>
      </c>
      <c r="F5" s="100"/>
      <c r="G5" s="101" t="str">
        <f t="shared" si="0"/>
        <v>Single burst write transfer with the address = random</v>
      </c>
      <c r="H5" s="101" t="s">
        <v>24</v>
      </c>
      <c r="I5" s="101"/>
      <c r="J5" s="100"/>
      <c r="K5" s="100"/>
      <c r="L5" s="100"/>
      <c r="M5" s="100"/>
      <c r="N5" s="100"/>
    </row>
    <row r="6" spans="1:15" ht="28.5" customHeight="1">
      <c r="A6" s="100">
        <v>2</v>
      </c>
      <c r="B6" s="100"/>
      <c r="C6" s="100"/>
      <c r="D6" s="100" t="s">
        <v>25</v>
      </c>
      <c r="E6" s="100"/>
      <c r="F6" s="100"/>
      <c r="G6" s="100"/>
      <c r="H6" s="100"/>
      <c r="I6" s="100"/>
      <c r="J6" s="100"/>
      <c r="K6" s="100"/>
      <c r="L6" s="100"/>
      <c r="M6" s="100"/>
      <c r="N6" s="100"/>
      <c r="O6" s="102"/>
    </row>
    <row r="7" spans="1:15" ht="28.5" customHeight="1">
      <c r="A7" s="100">
        <v>3</v>
      </c>
      <c r="B7" s="100"/>
      <c r="C7" s="100"/>
      <c r="D7" s="100" t="s">
        <v>26</v>
      </c>
      <c r="E7" s="100"/>
      <c r="F7" s="100"/>
      <c r="G7" s="100"/>
      <c r="H7" s="100"/>
      <c r="I7" s="100"/>
      <c r="J7" s="100"/>
      <c r="K7" s="100"/>
      <c r="L7" s="100"/>
      <c r="M7" s="100"/>
      <c r="N7" s="100"/>
    </row>
    <row r="8" spans="1:15" ht="27" customHeight="1">
      <c r="A8" s="100">
        <v>4</v>
      </c>
      <c r="B8" s="100"/>
      <c r="C8" s="100" t="s">
        <v>27</v>
      </c>
      <c r="D8" s="100" t="s">
        <v>17</v>
      </c>
      <c r="E8" s="100"/>
      <c r="F8" s="100"/>
      <c r="G8" s="100"/>
      <c r="H8" s="100"/>
      <c r="I8" s="100"/>
      <c r="J8" s="100"/>
      <c r="K8" s="100"/>
      <c r="L8" s="100"/>
      <c r="M8" s="100"/>
      <c r="N8" s="100"/>
    </row>
    <row r="9" spans="1:15" ht="30.75" customHeight="1">
      <c r="A9" s="100">
        <v>5</v>
      </c>
      <c r="B9" s="100"/>
      <c r="C9" s="100"/>
      <c r="D9" s="100" t="s">
        <v>25</v>
      </c>
      <c r="E9" s="100"/>
      <c r="F9" s="100"/>
      <c r="G9" s="100"/>
      <c r="H9" s="100"/>
      <c r="I9" s="100"/>
      <c r="J9" s="100"/>
      <c r="K9" s="100"/>
      <c r="L9" s="100"/>
      <c r="M9" s="100"/>
      <c r="N9" s="100"/>
    </row>
    <row r="10" spans="1:15" ht="24.75" customHeight="1">
      <c r="A10" s="100">
        <v>6</v>
      </c>
      <c r="B10" s="100"/>
      <c r="C10" s="100"/>
      <c r="D10" s="100" t="s">
        <v>26</v>
      </c>
      <c r="E10" s="100"/>
      <c r="F10" s="100"/>
      <c r="G10" s="100"/>
      <c r="H10" s="100"/>
      <c r="I10" s="100"/>
      <c r="J10" s="100"/>
      <c r="K10" s="100"/>
      <c r="L10" s="100"/>
      <c r="M10" s="100"/>
      <c r="N10" s="100"/>
    </row>
    <row r="12" spans="1:15">
      <c r="A12" s="109" t="s">
        <v>28</v>
      </c>
      <c r="B12" s="150" t="s">
        <v>29</v>
      </c>
      <c r="C12" s="151"/>
      <c r="D12" s="110" t="s">
        <v>30</v>
      </c>
    </row>
    <row r="13" spans="1:15" ht="87.75" customHeight="1">
      <c r="A13" s="103">
        <v>1</v>
      </c>
      <c r="B13" s="152" t="s">
        <v>31</v>
      </c>
      <c r="C13" s="153"/>
      <c r="D13" s="104"/>
    </row>
    <row r="14" spans="1:15">
      <c r="A14" s="105"/>
      <c r="B14" s="154"/>
      <c r="C14" s="155"/>
      <c r="D14" s="106"/>
    </row>
    <row r="16" spans="1:15" ht="15">
      <c r="A16" s="1" t="s">
        <v>32</v>
      </c>
      <c r="B16"/>
      <c r="C16"/>
      <c r="D16"/>
      <c r="E16"/>
      <c r="F16"/>
      <c r="G16"/>
      <c r="H16"/>
      <c r="I16"/>
      <c r="J16"/>
    </row>
    <row r="17" spans="1:10" ht="15">
      <c r="A17" s="1" t="s">
        <v>33</v>
      </c>
      <c r="B17"/>
      <c r="C17"/>
      <c r="D17"/>
      <c r="E17"/>
      <c r="F17"/>
      <c r="G17"/>
      <c r="H17"/>
      <c r="I17"/>
      <c r="J17"/>
    </row>
    <row r="18" spans="1:10" ht="15">
      <c r="A18" s="1" t="s">
        <v>34</v>
      </c>
      <c r="B18"/>
      <c r="C18"/>
      <c r="D18"/>
      <c r="E18"/>
      <c r="F18"/>
      <c r="G18"/>
      <c r="H18"/>
      <c r="I18"/>
      <c r="J18"/>
    </row>
    <row r="19" spans="1:10" ht="15">
      <c r="A19" s="1" t="s">
        <v>35</v>
      </c>
      <c r="B19"/>
      <c r="C19"/>
      <c r="D19"/>
      <c r="E19"/>
      <c r="F19"/>
      <c r="G19"/>
      <c r="H19"/>
      <c r="I19"/>
      <c r="J19"/>
    </row>
    <row r="20" spans="1:10" ht="15">
      <c r="A20" s="1" t="s">
        <v>36</v>
      </c>
      <c r="B20"/>
      <c r="C20"/>
      <c r="D20"/>
      <c r="E20"/>
      <c r="F20"/>
      <c r="G20"/>
      <c r="H20"/>
      <c r="I20"/>
      <c r="J20"/>
    </row>
    <row r="21" spans="1:10" ht="15">
      <c r="A21" s="1" t="s">
        <v>37</v>
      </c>
      <c r="B21"/>
      <c r="C21"/>
      <c r="D21"/>
      <c r="E21"/>
      <c r="F21"/>
      <c r="G21"/>
      <c r="H21"/>
      <c r="I21"/>
      <c r="J21"/>
    </row>
  </sheetData>
  <mergeCells count="15">
    <mergeCell ref="B12:C12"/>
    <mergeCell ref="B13:C13"/>
    <mergeCell ref="B14:C14"/>
    <mergeCell ref="N1:N2"/>
    <mergeCell ref="A1:A2"/>
    <mergeCell ref="B1:B2"/>
    <mergeCell ref="C1:C2"/>
    <mergeCell ref="D1:D2"/>
    <mergeCell ref="E1:E2"/>
    <mergeCell ref="F1:F2"/>
    <mergeCell ref="G1:G2"/>
    <mergeCell ref="H1:H2"/>
    <mergeCell ref="K1:K2"/>
    <mergeCell ref="L1:L2"/>
    <mergeCell ref="M1:M2"/>
  </mergeCells>
  <phoneticPr fontId="1" type="noConversion"/>
  <hyperlinks>
    <hyperlink ref="A16" r:id="rId1" xr:uid="{16FB9091-F621-4DCB-9E7F-2CC980F6A32E}"/>
    <hyperlink ref="A17" r:id="rId2" xr:uid="{BEA2BA69-F45F-42B7-B369-67AA599C870B}"/>
    <hyperlink ref="A18" r:id="rId3" xr:uid="{CCB1C641-823B-44C7-BAA9-FC7BEED4E696}"/>
    <hyperlink ref="A19" r:id="rId4" xr:uid="{864F0578-C2FF-48EB-85DD-E92F5378A91C}"/>
    <hyperlink ref="A20" r:id="rId5" xr:uid="{D4608A91-BE0F-4297-B96E-59A2EB753784}"/>
    <hyperlink ref="A21" r:id="rId6" xr:uid="{1A6CD2F0-C10A-4393-9686-CE76C0A6B18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3E63A-C08B-48A2-8E4E-3AF4A4DB5E94}">
  <dimension ref="A1:N47"/>
  <sheetViews>
    <sheetView topLeftCell="A27" workbookViewId="0">
      <selection activeCell="I52" sqref="I52"/>
    </sheetView>
  </sheetViews>
  <sheetFormatPr defaultRowHeight="15"/>
  <cols>
    <col min="1" max="2" width="9.140625" style="8"/>
    <col min="3" max="3" width="15.85546875" style="8" customWidth="1"/>
    <col min="4" max="4" width="29" style="8" customWidth="1"/>
    <col min="5" max="5" width="15.140625" style="8" customWidth="1"/>
    <col min="6" max="6" width="13.28515625" style="8" customWidth="1"/>
    <col min="7" max="7" width="49.42578125" style="8" customWidth="1"/>
    <col min="8" max="8" width="53.42578125" style="8" customWidth="1"/>
    <col min="9" max="9" width="36.140625" style="8" customWidth="1"/>
    <col min="10" max="10" width="44.5703125" style="8" customWidth="1"/>
    <col min="11" max="11" width="9.140625" style="8"/>
    <col min="12" max="12" width="11" style="8" customWidth="1"/>
    <col min="13" max="13" width="12" style="8" customWidth="1"/>
    <col min="14" max="14" width="15" style="8" customWidth="1"/>
  </cols>
  <sheetData>
    <row r="1" spans="1:14" ht="30">
      <c r="A1" s="6" t="s">
        <v>0</v>
      </c>
      <c r="B1" s="7" t="s">
        <v>1</v>
      </c>
      <c r="C1" s="7" t="s">
        <v>38</v>
      </c>
      <c r="D1" s="7" t="s">
        <v>3</v>
      </c>
      <c r="E1" s="7" t="s">
        <v>4</v>
      </c>
      <c r="F1" s="7" t="s">
        <v>5</v>
      </c>
      <c r="G1" s="7" t="s">
        <v>6</v>
      </c>
      <c r="H1" s="7" t="s">
        <v>7</v>
      </c>
      <c r="I1" s="7" t="s">
        <v>39</v>
      </c>
      <c r="J1" s="7" t="s">
        <v>40</v>
      </c>
      <c r="K1" s="7" t="s">
        <v>10</v>
      </c>
      <c r="L1" s="7" t="s">
        <v>11</v>
      </c>
      <c r="M1" s="7" t="s">
        <v>12</v>
      </c>
      <c r="N1" s="7" t="s">
        <v>13</v>
      </c>
    </row>
    <row r="2" spans="1:14" ht="45">
      <c r="A2" s="5">
        <v>1</v>
      </c>
      <c r="B2" s="5" t="s">
        <v>41</v>
      </c>
      <c r="C2" s="5" t="s">
        <v>42</v>
      </c>
      <c r="D2" s="5" t="s">
        <v>43</v>
      </c>
      <c r="E2" s="5"/>
      <c r="F2" s="5"/>
      <c r="G2" s="5" t="s">
        <v>44</v>
      </c>
      <c r="H2" s="5" t="s">
        <v>45</v>
      </c>
      <c r="I2" s="5" t="s">
        <v>46</v>
      </c>
      <c r="J2" s="5" t="s">
        <v>47</v>
      </c>
      <c r="K2" s="5" t="s">
        <v>48</v>
      </c>
      <c r="L2" s="5"/>
      <c r="M2" s="5"/>
      <c r="N2" s="5" t="s">
        <v>49</v>
      </c>
    </row>
    <row r="3" spans="1:14" ht="45">
      <c r="A3" s="5">
        <v>2</v>
      </c>
      <c r="B3" s="5" t="s">
        <v>41</v>
      </c>
      <c r="C3" s="5" t="s">
        <v>50</v>
      </c>
      <c r="D3" s="5" t="s">
        <v>51</v>
      </c>
      <c r="E3" s="5"/>
      <c r="F3" s="5"/>
      <c r="G3" s="5" t="s">
        <v>52</v>
      </c>
      <c r="H3" s="5" t="s">
        <v>53</v>
      </c>
      <c r="I3" s="5" t="s">
        <v>54</v>
      </c>
      <c r="J3" s="5" t="s">
        <v>55</v>
      </c>
      <c r="K3" s="5" t="s">
        <v>48</v>
      </c>
      <c r="L3" s="5"/>
      <c r="M3" s="5"/>
      <c r="N3" s="5" t="s">
        <v>56</v>
      </c>
    </row>
    <row r="4" spans="1:14" ht="30">
      <c r="A4" s="5">
        <v>3</v>
      </c>
      <c r="B4" s="5" t="s">
        <v>41</v>
      </c>
      <c r="C4" s="5" t="s">
        <v>50</v>
      </c>
      <c r="D4" s="5" t="s">
        <v>57</v>
      </c>
      <c r="E4" s="5" t="s">
        <v>58</v>
      </c>
      <c r="F4" s="5"/>
      <c r="G4" s="5" t="s">
        <v>59</v>
      </c>
      <c r="H4" s="5" t="s">
        <v>60</v>
      </c>
      <c r="I4" s="5" t="s">
        <v>61</v>
      </c>
      <c r="J4" s="5" t="s">
        <v>62</v>
      </c>
      <c r="K4" s="5" t="s">
        <v>48</v>
      </c>
      <c r="L4" s="5"/>
      <c r="M4" s="5"/>
      <c r="N4" s="5" t="s">
        <v>63</v>
      </c>
    </row>
    <row r="5" spans="1:14" ht="30">
      <c r="A5" s="5">
        <v>4</v>
      </c>
      <c r="B5" s="5" t="s">
        <v>41</v>
      </c>
      <c r="C5" s="5" t="s">
        <v>64</v>
      </c>
      <c r="D5" s="5" t="s">
        <v>65</v>
      </c>
      <c r="E5" s="5"/>
      <c r="F5" s="5"/>
      <c r="G5" s="5" t="s">
        <v>66</v>
      </c>
      <c r="H5" s="5" t="s">
        <v>67</v>
      </c>
      <c r="I5" s="5" t="s">
        <v>68</v>
      </c>
      <c r="J5" s="5" t="s">
        <v>69</v>
      </c>
      <c r="K5" s="5" t="s">
        <v>48</v>
      </c>
      <c r="L5" s="5"/>
      <c r="M5" s="5"/>
      <c r="N5" s="5" t="s">
        <v>70</v>
      </c>
    </row>
    <row r="6" spans="1:14" ht="30">
      <c r="A6" s="5">
        <v>5</v>
      </c>
      <c r="B6" s="5" t="s">
        <v>41</v>
      </c>
      <c r="C6" s="5" t="s">
        <v>64</v>
      </c>
      <c r="D6" s="5" t="s">
        <v>71</v>
      </c>
      <c r="E6" s="5"/>
      <c r="F6" s="5"/>
      <c r="G6" s="5" t="s">
        <v>72</v>
      </c>
      <c r="H6" s="5" t="s">
        <v>73</v>
      </c>
      <c r="I6" s="5" t="s">
        <v>74</v>
      </c>
      <c r="J6" s="5" t="s">
        <v>69</v>
      </c>
      <c r="K6" s="5" t="s">
        <v>48</v>
      </c>
      <c r="L6" s="5"/>
      <c r="M6" s="5"/>
      <c r="N6" s="5" t="s">
        <v>75</v>
      </c>
    </row>
    <row r="7" spans="1:14" ht="30">
      <c r="A7" s="5">
        <v>6</v>
      </c>
      <c r="B7" s="5" t="s">
        <v>41</v>
      </c>
      <c r="C7" s="5" t="s">
        <v>64</v>
      </c>
      <c r="D7" s="5" t="s">
        <v>76</v>
      </c>
      <c r="E7" s="5" t="s">
        <v>77</v>
      </c>
      <c r="F7" s="5"/>
      <c r="G7" s="5" t="s">
        <v>78</v>
      </c>
      <c r="H7" s="4" t="s">
        <v>79</v>
      </c>
      <c r="I7" s="5" t="s">
        <v>80</v>
      </c>
      <c r="J7" s="5" t="s">
        <v>81</v>
      </c>
      <c r="K7" s="5" t="s">
        <v>82</v>
      </c>
      <c r="L7" s="5"/>
      <c r="M7" s="5"/>
      <c r="N7" s="5" t="s">
        <v>83</v>
      </c>
    </row>
    <row r="8" spans="1:14" ht="45">
      <c r="A8" s="5">
        <v>7</v>
      </c>
      <c r="B8" s="5" t="s">
        <v>41</v>
      </c>
      <c r="C8" s="5" t="s">
        <v>84</v>
      </c>
      <c r="D8" s="5" t="s">
        <v>85</v>
      </c>
      <c r="E8" s="5" t="s">
        <v>86</v>
      </c>
      <c r="F8" s="5" t="s">
        <v>87</v>
      </c>
      <c r="G8" s="5" t="s">
        <v>88</v>
      </c>
      <c r="H8" s="5" t="s">
        <v>89</v>
      </c>
      <c r="I8" s="5" t="s">
        <v>90</v>
      </c>
      <c r="J8" s="5" t="s">
        <v>91</v>
      </c>
      <c r="K8" s="5" t="s">
        <v>48</v>
      </c>
      <c r="L8" s="5"/>
      <c r="M8" s="5"/>
      <c r="N8" s="5" t="s">
        <v>92</v>
      </c>
    </row>
    <row r="9" spans="1:14" ht="30">
      <c r="A9" s="5">
        <v>8</v>
      </c>
      <c r="B9" s="5" t="s">
        <v>41</v>
      </c>
      <c r="C9" s="5" t="s">
        <v>93</v>
      </c>
      <c r="D9" s="5" t="s">
        <v>94</v>
      </c>
      <c r="E9" s="5"/>
      <c r="F9" s="5"/>
      <c r="G9" s="5" t="s">
        <v>95</v>
      </c>
      <c r="H9" s="5" t="s">
        <v>96</v>
      </c>
      <c r="I9" s="5" t="s">
        <v>97</v>
      </c>
      <c r="J9" s="5" t="s">
        <v>98</v>
      </c>
      <c r="K9" s="5" t="s">
        <v>48</v>
      </c>
      <c r="L9" s="5"/>
      <c r="M9" s="5"/>
      <c r="N9" s="5" t="s">
        <v>99</v>
      </c>
    </row>
    <row r="10" spans="1:14" ht="30">
      <c r="A10" s="5">
        <v>9</v>
      </c>
      <c r="B10" s="5" t="s">
        <v>41</v>
      </c>
      <c r="C10" s="5" t="s">
        <v>93</v>
      </c>
      <c r="D10" s="5" t="s">
        <v>100</v>
      </c>
      <c r="E10" s="5"/>
      <c r="F10" s="5"/>
      <c r="G10" s="5" t="s">
        <v>101</v>
      </c>
      <c r="H10" s="5" t="s">
        <v>102</v>
      </c>
      <c r="I10" s="5" t="s">
        <v>103</v>
      </c>
      <c r="J10" s="5" t="s">
        <v>98</v>
      </c>
      <c r="K10" s="5" t="s">
        <v>48</v>
      </c>
      <c r="L10" s="5"/>
      <c r="M10" s="5"/>
      <c r="N10" s="5" t="s">
        <v>104</v>
      </c>
    </row>
    <row r="11" spans="1:14">
      <c r="A11" s="5">
        <v>10</v>
      </c>
      <c r="B11" s="5" t="s">
        <v>41</v>
      </c>
      <c r="C11" s="5" t="s">
        <v>93</v>
      </c>
      <c r="D11" s="5" t="s">
        <v>105</v>
      </c>
      <c r="E11" s="5"/>
      <c r="F11" s="5"/>
      <c r="G11" s="5" t="s">
        <v>106</v>
      </c>
      <c r="H11" s="5" t="s">
        <v>107</v>
      </c>
      <c r="I11" s="5" t="s">
        <v>108</v>
      </c>
      <c r="J11" s="5" t="s">
        <v>98</v>
      </c>
      <c r="K11" s="5" t="s">
        <v>48</v>
      </c>
      <c r="L11" s="5"/>
      <c r="M11" s="5"/>
      <c r="N11" s="5" t="s">
        <v>109</v>
      </c>
    </row>
    <row r="12" spans="1:14">
      <c r="A12" s="5">
        <v>11</v>
      </c>
      <c r="B12" s="5" t="s">
        <v>41</v>
      </c>
      <c r="C12" s="5" t="s">
        <v>93</v>
      </c>
      <c r="D12" s="5" t="s">
        <v>110</v>
      </c>
      <c r="E12" s="5"/>
      <c r="F12" s="5"/>
      <c r="G12" s="5" t="s">
        <v>111</v>
      </c>
      <c r="H12" s="5" t="s">
        <v>112</v>
      </c>
      <c r="I12" s="5" t="s">
        <v>113</v>
      </c>
      <c r="J12" s="5" t="s">
        <v>98</v>
      </c>
      <c r="K12" s="5" t="s">
        <v>48</v>
      </c>
      <c r="L12" s="5"/>
      <c r="M12" s="5"/>
      <c r="N12" s="5" t="s">
        <v>114</v>
      </c>
    </row>
    <row r="13" spans="1:14" ht="30">
      <c r="A13" s="5">
        <v>12</v>
      </c>
      <c r="B13" s="5" t="s">
        <v>41</v>
      </c>
      <c r="C13" s="5" t="s">
        <v>93</v>
      </c>
      <c r="D13" s="5" t="s">
        <v>115</v>
      </c>
      <c r="E13" s="5"/>
      <c r="F13" s="5"/>
      <c r="G13" s="5" t="s">
        <v>116</v>
      </c>
      <c r="H13" s="5" t="s">
        <v>117</v>
      </c>
      <c r="I13" s="5" t="s">
        <v>118</v>
      </c>
      <c r="J13" s="5" t="s">
        <v>98</v>
      </c>
      <c r="K13" s="5" t="s">
        <v>48</v>
      </c>
      <c r="L13" s="5"/>
      <c r="M13" s="5"/>
      <c r="N13" s="5" t="s">
        <v>119</v>
      </c>
    </row>
    <row r="14" spans="1:14">
      <c r="A14" s="5">
        <v>13</v>
      </c>
      <c r="B14" s="5" t="s">
        <v>41</v>
      </c>
      <c r="C14" s="5" t="s">
        <v>93</v>
      </c>
      <c r="D14" s="5" t="s">
        <v>120</v>
      </c>
      <c r="E14" s="5"/>
      <c r="F14" s="5"/>
      <c r="G14" s="5" t="s">
        <v>121</v>
      </c>
      <c r="H14" s="5" t="s">
        <v>117</v>
      </c>
      <c r="I14" s="5" t="s">
        <v>122</v>
      </c>
      <c r="J14" s="5" t="s">
        <v>98</v>
      </c>
      <c r="K14" s="5" t="s">
        <v>48</v>
      </c>
      <c r="L14" s="5"/>
      <c r="M14" s="5"/>
      <c r="N14" s="5" t="s">
        <v>123</v>
      </c>
    </row>
    <row r="15" spans="1:14">
      <c r="A15" s="5">
        <v>14</v>
      </c>
      <c r="B15" s="5" t="s">
        <v>41</v>
      </c>
      <c r="C15" s="5" t="s">
        <v>93</v>
      </c>
      <c r="D15" s="5" t="s">
        <v>124</v>
      </c>
      <c r="E15" s="5"/>
      <c r="F15" s="5"/>
      <c r="G15" s="5" t="s">
        <v>125</v>
      </c>
      <c r="H15" s="5" t="s">
        <v>117</v>
      </c>
      <c r="I15" s="5" t="s">
        <v>122</v>
      </c>
      <c r="J15" s="5" t="s">
        <v>98</v>
      </c>
      <c r="K15" s="5" t="s">
        <v>48</v>
      </c>
      <c r="L15" s="5"/>
      <c r="M15" s="5"/>
      <c r="N15" s="5" t="s">
        <v>126</v>
      </c>
    </row>
    <row r="16" spans="1:14" ht="30">
      <c r="A16" s="5">
        <v>15</v>
      </c>
      <c r="B16" s="5" t="s">
        <v>41</v>
      </c>
      <c r="C16" s="5" t="s">
        <v>76</v>
      </c>
      <c r="D16" s="5" t="s">
        <v>77</v>
      </c>
      <c r="E16" s="5"/>
      <c r="F16" s="5"/>
      <c r="G16" s="5" t="s">
        <v>127</v>
      </c>
      <c r="H16" s="5" t="s">
        <v>128</v>
      </c>
      <c r="I16" s="5" t="s">
        <v>129</v>
      </c>
      <c r="J16" s="5" t="s">
        <v>55</v>
      </c>
      <c r="K16" s="5" t="s">
        <v>48</v>
      </c>
      <c r="L16" s="5"/>
      <c r="M16" s="5"/>
      <c r="N16" s="5" t="s">
        <v>130</v>
      </c>
    </row>
    <row r="17" spans="1:14">
      <c r="A17" s="5">
        <v>16</v>
      </c>
      <c r="B17" s="5" t="s">
        <v>41</v>
      </c>
      <c r="C17" s="5" t="s">
        <v>131</v>
      </c>
      <c r="D17" s="5" t="s">
        <v>132</v>
      </c>
      <c r="E17" s="5"/>
      <c r="F17" s="5"/>
      <c r="G17" s="5" t="s">
        <v>133</v>
      </c>
      <c r="H17" s="5" t="s">
        <v>134</v>
      </c>
      <c r="I17" s="5" t="s">
        <v>135</v>
      </c>
      <c r="J17" s="5" t="s">
        <v>98</v>
      </c>
      <c r="K17" s="5" t="s">
        <v>48</v>
      </c>
      <c r="L17" s="5"/>
      <c r="M17" s="5"/>
      <c r="N17" s="5" t="s">
        <v>136</v>
      </c>
    </row>
    <row r="18" spans="1:14" ht="30">
      <c r="A18" s="5">
        <v>17</v>
      </c>
      <c r="B18" s="5" t="s">
        <v>41</v>
      </c>
      <c r="C18" s="5" t="s">
        <v>137</v>
      </c>
      <c r="D18" s="5" t="s">
        <v>138</v>
      </c>
      <c r="E18" s="5"/>
      <c r="F18" s="5"/>
      <c r="G18" s="5" t="s">
        <v>139</v>
      </c>
      <c r="H18" s="5" t="s">
        <v>140</v>
      </c>
      <c r="I18" s="5" t="s">
        <v>141</v>
      </c>
      <c r="J18" s="5" t="s">
        <v>142</v>
      </c>
      <c r="K18" s="5" t="s">
        <v>48</v>
      </c>
      <c r="L18" s="5"/>
      <c r="M18" s="5"/>
      <c r="N18" s="5" t="s">
        <v>143</v>
      </c>
    </row>
    <row r="19" spans="1:14" ht="30">
      <c r="A19" s="5">
        <v>18</v>
      </c>
      <c r="B19" s="5" t="s">
        <v>41</v>
      </c>
      <c r="C19" s="5" t="s">
        <v>137</v>
      </c>
      <c r="D19" s="5" t="s">
        <v>144</v>
      </c>
      <c r="E19" s="4" t="s">
        <v>145</v>
      </c>
      <c r="F19" s="4" t="s">
        <v>146</v>
      </c>
      <c r="G19" s="5" t="s">
        <v>147</v>
      </c>
      <c r="H19" s="5" t="s">
        <v>148</v>
      </c>
      <c r="I19" s="5" t="s">
        <v>149</v>
      </c>
      <c r="J19" s="5" t="s">
        <v>150</v>
      </c>
      <c r="K19" s="5" t="s">
        <v>48</v>
      </c>
      <c r="L19" s="5"/>
      <c r="M19" s="5"/>
      <c r="N19" s="5" t="s">
        <v>151</v>
      </c>
    </row>
    <row r="20" spans="1:14" ht="30">
      <c r="A20" s="5">
        <v>19</v>
      </c>
      <c r="B20" s="5" t="s">
        <v>41</v>
      </c>
      <c r="C20" s="5" t="s">
        <v>98</v>
      </c>
      <c r="D20" s="5" t="s">
        <v>58</v>
      </c>
      <c r="E20" s="5"/>
      <c r="F20" s="5"/>
      <c r="G20" s="5" t="s">
        <v>152</v>
      </c>
      <c r="H20" s="5" t="s">
        <v>153</v>
      </c>
      <c r="I20" s="5" t="s">
        <v>154</v>
      </c>
      <c r="J20" s="5" t="s">
        <v>98</v>
      </c>
      <c r="K20" s="5" t="s">
        <v>48</v>
      </c>
      <c r="L20" s="5"/>
      <c r="M20" s="5"/>
      <c r="N20" s="5" t="s">
        <v>155</v>
      </c>
    </row>
    <row r="21" spans="1:14" ht="30">
      <c r="A21" s="5">
        <v>20</v>
      </c>
      <c r="B21" s="5" t="s">
        <v>41</v>
      </c>
      <c r="C21" s="5" t="s">
        <v>156</v>
      </c>
      <c r="D21" s="5" t="s">
        <v>157</v>
      </c>
      <c r="E21" s="5" t="s">
        <v>158</v>
      </c>
      <c r="F21" s="5" t="s">
        <v>159</v>
      </c>
      <c r="G21" s="5" t="s">
        <v>160</v>
      </c>
      <c r="H21" s="5" t="s">
        <v>161</v>
      </c>
      <c r="I21" s="5" t="s">
        <v>162</v>
      </c>
      <c r="J21" s="5" t="s">
        <v>98</v>
      </c>
      <c r="K21" s="5" t="s">
        <v>48</v>
      </c>
      <c r="L21" s="5"/>
      <c r="M21" s="5"/>
      <c r="N21" s="5" t="s">
        <v>163</v>
      </c>
    </row>
    <row r="22" spans="1:14" ht="30">
      <c r="A22" s="5">
        <v>21</v>
      </c>
      <c r="B22" s="5" t="s">
        <v>41</v>
      </c>
      <c r="C22" s="5" t="s">
        <v>164</v>
      </c>
      <c r="D22" s="5" t="s">
        <v>165</v>
      </c>
      <c r="E22" s="5"/>
      <c r="F22" s="5"/>
      <c r="G22" s="5" t="s">
        <v>166</v>
      </c>
      <c r="H22" s="5" t="s">
        <v>167</v>
      </c>
      <c r="I22" s="5" t="s">
        <v>168</v>
      </c>
      <c r="J22" s="5" t="s">
        <v>169</v>
      </c>
      <c r="K22" s="5" t="s">
        <v>48</v>
      </c>
      <c r="L22" s="5"/>
      <c r="M22" s="5"/>
      <c r="N22" s="5" t="s">
        <v>170</v>
      </c>
    </row>
    <row r="23" spans="1:14">
      <c r="A23" s="5">
        <v>22</v>
      </c>
      <c r="B23" s="5" t="s">
        <v>41</v>
      </c>
      <c r="C23" s="5" t="s">
        <v>171</v>
      </c>
      <c r="D23" s="5" t="s">
        <v>172</v>
      </c>
      <c r="E23" s="5"/>
      <c r="F23" s="5"/>
      <c r="G23" s="5" t="s">
        <v>173</v>
      </c>
      <c r="H23" s="5" t="s">
        <v>174</v>
      </c>
      <c r="I23" s="5" t="s">
        <v>175</v>
      </c>
      <c r="J23" s="5" t="s">
        <v>169</v>
      </c>
      <c r="K23" s="5" t="s">
        <v>48</v>
      </c>
      <c r="L23" s="5"/>
      <c r="M23" s="5"/>
      <c r="N23" s="5" t="s">
        <v>176</v>
      </c>
    </row>
    <row r="24" spans="1:14" ht="30">
      <c r="A24" s="5">
        <v>23</v>
      </c>
      <c r="B24" s="5" t="s">
        <v>41</v>
      </c>
      <c r="C24" s="5" t="s">
        <v>177</v>
      </c>
      <c r="D24" s="5" t="s">
        <v>178</v>
      </c>
      <c r="E24" s="5"/>
      <c r="F24" s="5"/>
      <c r="G24" s="5" t="s">
        <v>179</v>
      </c>
      <c r="H24" s="5" t="s">
        <v>180</v>
      </c>
      <c r="I24" s="5" t="s">
        <v>181</v>
      </c>
      <c r="J24" s="5" t="s">
        <v>98</v>
      </c>
      <c r="K24" s="5" t="s">
        <v>48</v>
      </c>
      <c r="L24" s="5"/>
      <c r="M24" s="5"/>
      <c r="N24" s="5" t="s">
        <v>182</v>
      </c>
    </row>
    <row r="25" spans="1:14" ht="30">
      <c r="A25" s="5">
        <v>24</v>
      </c>
      <c r="B25" s="5" t="s">
        <v>41</v>
      </c>
      <c r="C25" s="5" t="s">
        <v>183</v>
      </c>
      <c r="D25" s="5" t="s">
        <v>184</v>
      </c>
      <c r="E25" s="5"/>
      <c r="F25" s="5"/>
      <c r="G25" s="5" t="s">
        <v>185</v>
      </c>
      <c r="H25" s="5" t="s">
        <v>186</v>
      </c>
      <c r="I25" s="5" t="s">
        <v>187</v>
      </c>
      <c r="J25" s="5" t="s">
        <v>188</v>
      </c>
      <c r="K25" s="5" t="s">
        <v>48</v>
      </c>
      <c r="L25" s="5"/>
      <c r="M25" s="5"/>
      <c r="N25" s="5" t="s">
        <v>189</v>
      </c>
    </row>
    <row r="26" spans="1:14" ht="30">
      <c r="A26" s="5">
        <v>25</v>
      </c>
      <c r="B26" s="5" t="s">
        <v>41</v>
      </c>
      <c r="C26" s="5" t="s">
        <v>190</v>
      </c>
      <c r="D26" s="5" t="s">
        <v>191</v>
      </c>
      <c r="E26" s="5"/>
      <c r="F26" s="5"/>
      <c r="G26" s="5" t="s">
        <v>192</v>
      </c>
      <c r="H26" s="5" t="s">
        <v>193</v>
      </c>
      <c r="I26" s="5" t="s">
        <v>194</v>
      </c>
      <c r="J26" s="5" t="s">
        <v>188</v>
      </c>
      <c r="K26" s="5" t="s">
        <v>48</v>
      </c>
      <c r="L26" s="5"/>
      <c r="M26" s="5"/>
      <c r="N26" s="5" t="s">
        <v>195</v>
      </c>
    </row>
    <row r="27" spans="1:14" ht="30">
      <c r="A27" s="5">
        <v>26</v>
      </c>
      <c r="B27" s="5" t="s">
        <v>196</v>
      </c>
      <c r="C27" s="5" t="s">
        <v>197</v>
      </c>
      <c r="D27" s="5" t="s">
        <v>198</v>
      </c>
      <c r="E27" s="5"/>
      <c r="F27" s="5"/>
      <c r="G27" s="5" t="s">
        <v>199</v>
      </c>
      <c r="H27" s="5" t="s">
        <v>200</v>
      </c>
      <c r="I27" s="5" t="s">
        <v>201</v>
      </c>
      <c r="J27" s="5" t="s">
        <v>98</v>
      </c>
      <c r="K27" s="5" t="s">
        <v>48</v>
      </c>
      <c r="L27" s="5"/>
      <c r="M27" s="5"/>
      <c r="N27" s="5" t="s">
        <v>202</v>
      </c>
    </row>
    <row r="28" spans="1:14" ht="30">
      <c r="A28" s="5">
        <v>27</v>
      </c>
      <c r="B28" s="5" t="s">
        <v>196</v>
      </c>
      <c r="C28" s="5" t="s">
        <v>197</v>
      </c>
      <c r="D28" s="5" t="s">
        <v>203</v>
      </c>
      <c r="E28" s="5"/>
      <c r="F28" s="5"/>
      <c r="G28" s="5" t="s">
        <v>204</v>
      </c>
      <c r="H28" s="5" t="s">
        <v>205</v>
      </c>
      <c r="I28" s="5" t="s">
        <v>206</v>
      </c>
      <c r="J28" s="5" t="s">
        <v>98</v>
      </c>
      <c r="K28" s="5" t="s">
        <v>48</v>
      </c>
      <c r="L28" s="5"/>
      <c r="M28" s="5"/>
      <c r="N28" s="5" t="s">
        <v>207</v>
      </c>
    </row>
    <row r="29" spans="1:14">
      <c r="A29" s="5">
        <v>28</v>
      </c>
      <c r="B29" s="5" t="s">
        <v>196</v>
      </c>
      <c r="C29" s="5" t="s">
        <v>197</v>
      </c>
      <c r="D29" s="5" t="s">
        <v>208</v>
      </c>
      <c r="E29" s="5"/>
      <c r="F29" s="5"/>
      <c r="G29" s="5" t="s">
        <v>209</v>
      </c>
      <c r="H29" s="5" t="s">
        <v>210</v>
      </c>
      <c r="I29" s="5" t="s">
        <v>211</v>
      </c>
      <c r="J29" s="5" t="s">
        <v>98</v>
      </c>
      <c r="K29" s="5" t="s">
        <v>48</v>
      </c>
      <c r="L29" s="5"/>
      <c r="M29" s="5"/>
      <c r="N29" s="5" t="s">
        <v>212</v>
      </c>
    </row>
    <row r="30" spans="1:14">
      <c r="A30" s="5">
        <v>29</v>
      </c>
      <c r="B30" s="5" t="s">
        <v>196</v>
      </c>
      <c r="C30" s="5" t="s">
        <v>197</v>
      </c>
      <c r="D30" s="5" t="s">
        <v>213</v>
      </c>
      <c r="E30" s="5"/>
      <c r="F30" s="5"/>
      <c r="G30" s="5" t="s">
        <v>214</v>
      </c>
      <c r="H30" s="5" t="s">
        <v>215</v>
      </c>
      <c r="I30" s="5" t="s">
        <v>216</v>
      </c>
      <c r="J30" s="5" t="s">
        <v>98</v>
      </c>
      <c r="K30" s="5" t="s">
        <v>48</v>
      </c>
      <c r="L30" s="5"/>
      <c r="M30" s="5"/>
      <c r="N30" s="5" t="s">
        <v>217</v>
      </c>
    </row>
    <row r="31" spans="1:14">
      <c r="A31" s="5">
        <v>30</v>
      </c>
      <c r="B31" s="5" t="s">
        <v>196</v>
      </c>
      <c r="C31" s="5" t="s">
        <v>218</v>
      </c>
      <c r="D31" s="5" t="s">
        <v>219</v>
      </c>
      <c r="E31" s="5"/>
      <c r="F31" s="5"/>
      <c r="G31" s="5" t="s">
        <v>220</v>
      </c>
      <c r="H31" s="5" t="s">
        <v>221</v>
      </c>
      <c r="I31" s="5" t="s">
        <v>222</v>
      </c>
      <c r="J31" s="5" t="s">
        <v>223</v>
      </c>
      <c r="K31" s="5" t="s">
        <v>48</v>
      </c>
      <c r="L31" s="5"/>
      <c r="M31" s="5"/>
      <c r="N31" s="5" t="s">
        <v>224</v>
      </c>
    </row>
    <row r="32" spans="1:14">
      <c r="A32" s="5">
        <v>31</v>
      </c>
      <c r="B32" s="5" t="s">
        <v>225</v>
      </c>
      <c r="C32" s="5" t="s">
        <v>226</v>
      </c>
      <c r="D32" s="5" t="s">
        <v>227</v>
      </c>
      <c r="E32" s="5"/>
      <c r="F32" s="5"/>
      <c r="G32" s="5" t="s">
        <v>228</v>
      </c>
      <c r="H32" s="5" t="s">
        <v>229</v>
      </c>
      <c r="I32" s="5" t="s">
        <v>230</v>
      </c>
      <c r="J32" s="5" t="s">
        <v>231</v>
      </c>
      <c r="K32" s="5" t="s">
        <v>48</v>
      </c>
      <c r="L32" s="5"/>
      <c r="M32" s="5"/>
      <c r="N32" s="5" t="s">
        <v>232</v>
      </c>
    </row>
    <row r="33" spans="1:14">
      <c r="A33" s="5">
        <v>32</v>
      </c>
      <c r="B33" s="5" t="s">
        <v>225</v>
      </c>
      <c r="C33" s="5" t="s">
        <v>226</v>
      </c>
      <c r="D33" s="5" t="s">
        <v>233</v>
      </c>
      <c r="E33" s="5"/>
      <c r="F33" s="5"/>
      <c r="G33" s="5" t="s">
        <v>234</v>
      </c>
      <c r="H33" s="5" t="s">
        <v>235</v>
      </c>
      <c r="I33" s="5" t="s">
        <v>230</v>
      </c>
      <c r="J33" s="5" t="s">
        <v>231</v>
      </c>
      <c r="K33" s="5" t="s">
        <v>48</v>
      </c>
      <c r="L33" s="5"/>
      <c r="M33" s="5"/>
      <c r="N33" s="5" t="s">
        <v>236</v>
      </c>
    </row>
    <row r="34" spans="1:14">
      <c r="A34" s="5">
        <v>33</v>
      </c>
      <c r="B34" s="5" t="s">
        <v>225</v>
      </c>
      <c r="C34" s="5" t="s">
        <v>226</v>
      </c>
      <c r="D34" s="5" t="s">
        <v>237</v>
      </c>
      <c r="E34" s="5"/>
      <c r="F34" s="5"/>
      <c r="G34" s="5" t="s">
        <v>238</v>
      </c>
      <c r="H34" s="5" t="s">
        <v>239</v>
      </c>
      <c r="I34" s="5" t="s">
        <v>230</v>
      </c>
      <c r="J34" s="5" t="s">
        <v>231</v>
      </c>
      <c r="K34" s="5" t="s">
        <v>48</v>
      </c>
      <c r="L34" s="5"/>
      <c r="M34" s="5"/>
      <c r="N34" s="5" t="s">
        <v>240</v>
      </c>
    </row>
    <row r="35" spans="1:14" ht="30">
      <c r="A35" s="5">
        <v>34</v>
      </c>
      <c r="B35" s="5" t="s">
        <v>225</v>
      </c>
      <c r="C35" s="5" t="s">
        <v>241</v>
      </c>
      <c r="D35" s="5" t="s">
        <v>242</v>
      </c>
      <c r="E35" s="5"/>
      <c r="F35" s="5"/>
      <c r="G35" s="5" t="s">
        <v>243</v>
      </c>
      <c r="H35" s="5" t="s">
        <v>244</v>
      </c>
      <c r="I35" s="5" t="s">
        <v>245</v>
      </c>
      <c r="J35" s="5" t="s">
        <v>98</v>
      </c>
      <c r="K35" s="5" t="s">
        <v>48</v>
      </c>
      <c r="L35" s="5"/>
      <c r="M35" s="5"/>
      <c r="N35" s="5" t="s">
        <v>246</v>
      </c>
    </row>
    <row r="36" spans="1:14">
      <c r="A36" s="5">
        <v>35</v>
      </c>
      <c r="B36" s="5" t="s">
        <v>225</v>
      </c>
      <c r="C36" s="5" t="s">
        <v>247</v>
      </c>
      <c r="D36" s="5" t="s">
        <v>248</v>
      </c>
      <c r="E36" s="5"/>
      <c r="F36" s="5"/>
      <c r="G36" s="5" t="s">
        <v>249</v>
      </c>
      <c r="H36" s="5" t="s">
        <v>250</v>
      </c>
      <c r="I36" s="5" t="s">
        <v>251</v>
      </c>
      <c r="J36" s="5" t="s">
        <v>252</v>
      </c>
      <c r="K36" s="5" t="s">
        <v>48</v>
      </c>
      <c r="L36" s="5"/>
      <c r="M36" s="5"/>
      <c r="N36" s="5" t="s">
        <v>253</v>
      </c>
    </row>
    <row r="37" spans="1:14" ht="60">
      <c r="A37" s="5">
        <v>36</v>
      </c>
      <c r="B37" s="8" t="s">
        <v>41</v>
      </c>
      <c r="C37" s="5" t="s">
        <v>254</v>
      </c>
      <c r="D37" s="5" t="s">
        <v>255</v>
      </c>
      <c r="E37" s="5" t="s">
        <v>256</v>
      </c>
      <c r="G37" s="10" t="s">
        <v>257</v>
      </c>
      <c r="H37" s="10" t="s">
        <v>258</v>
      </c>
      <c r="I37" s="5" t="s">
        <v>259</v>
      </c>
      <c r="J37" s="8" t="s">
        <v>260</v>
      </c>
      <c r="K37" s="8" t="s">
        <v>261</v>
      </c>
      <c r="N37" s="8" t="s">
        <v>262</v>
      </c>
    </row>
    <row r="38" spans="1:14" ht="30">
      <c r="A38" s="5">
        <v>37</v>
      </c>
      <c r="B38" s="8" t="s">
        <v>41</v>
      </c>
      <c r="C38" s="5" t="s">
        <v>254</v>
      </c>
      <c r="D38" s="5" t="s">
        <v>263</v>
      </c>
      <c r="E38" s="5" t="s">
        <v>264</v>
      </c>
      <c r="G38" s="10" t="s">
        <v>265</v>
      </c>
      <c r="H38" s="10" t="s">
        <v>266</v>
      </c>
      <c r="I38" s="5" t="s">
        <v>267</v>
      </c>
      <c r="J38" s="8" t="s">
        <v>268</v>
      </c>
      <c r="K38" s="8" t="s">
        <v>261</v>
      </c>
      <c r="N38" s="8" t="s">
        <v>269</v>
      </c>
    </row>
    <row r="39" spans="1:14" ht="30">
      <c r="A39" s="5">
        <v>38</v>
      </c>
      <c r="B39" s="8" t="s">
        <v>41</v>
      </c>
      <c r="C39" s="5" t="s">
        <v>254</v>
      </c>
      <c r="D39" s="5" t="s">
        <v>270</v>
      </c>
      <c r="E39" s="5" t="s">
        <v>271</v>
      </c>
      <c r="G39" s="10" t="s">
        <v>272</v>
      </c>
      <c r="H39" s="10" t="s">
        <v>273</v>
      </c>
      <c r="I39" s="5" t="s">
        <v>274</v>
      </c>
      <c r="J39" s="8" t="s">
        <v>275</v>
      </c>
      <c r="K39" s="8" t="s">
        <v>261</v>
      </c>
      <c r="N39" s="8" t="s">
        <v>276</v>
      </c>
    </row>
    <row r="40" spans="1:14" ht="45">
      <c r="A40" s="5">
        <v>39</v>
      </c>
      <c r="B40" s="8" t="s">
        <v>41</v>
      </c>
      <c r="C40" s="5" t="s">
        <v>254</v>
      </c>
      <c r="D40" s="5" t="s">
        <v>277</v>
      </c>
      <c r="E40" s="5" t="s">
        <v>278</v>
      </c>
      <c r="G40" s="10" t="s">
        <v>279</v>
      </c>
      <c r="H40" s="10" t="s">
        <v>280</v>
      </c>
      <c r="I40" s="5" t="s">
        <v>281</v>
      </c>
      <c r="J40" s="8" t="s">
        <v>282</v>
      </c>
      <c r="K40" s="8" t="s">
        <v>261</v>
      </c>
      <c r="N40" s="8" t="s">
        <v>283</v>
      </c>
    </row>
    <row r="41" spans="1:14" ht="45">
      <c r="A41" s="5">
        <v>40</v>
      </c>
      <c r="B41" s="8" t="s">
        <v>41</v>
      </c>
      <c r="C41" s="5" t="s">
        <v>254</v>
      </c>
      <c r="D41" s="5" t="s">
        <v>277</v>
      </c>
      <c r="E41" s="5" t="s">
        <v>284</v>
      </c>
      <c r="G41" s="10" t="s">
        <v>285</v>
      </c>
      <c r="H41" s="10" t="s">
        <v>286</v>
      </c>
      <c r="I41" s="5" t="s">
        <v>287</v>
      </c>
      <c r="J41" s="8" t="s">
        <v>288</v>
      </c>
      <c r="K41" s="8" t="s">
        <v>261</v>
      </c>
      <c r="N41" s="8" t="s">
        <v>289</v>
      </c>
    </row>
    <row r="42" spans="1:14" ht="30">
      <c r="A42" s="5">
        <v>41</v>
      </c>
      <c r="B42" s="8" t="s">
        <v>41</v>
      </c>
      <c r="C42" s="5" t="s">
        <v>290</v>
      </c>
      <c r="D42" s="5" t="s">
        <v>291</v>
      </c>
      <c r="E42" s="5" t="s">
        <v>292</v>
      </c>
      <c r="G42" s="5" t="s">
        <v>293</v>
      </c>
      <c r="H42" s="5" t="s">
        <v>294</v>
      </c>
      <c r="I42" s="5" t="s">
        <v>295</v>
      </c>
      <c r="J42" s="8" t="s">
        <v>296</v>
      </c>
      <c r="K42" s="8" t="s">
        <v>261</v>
      </c>
      <c r="N42" s="8" t="s">
        <v>297</v>
      </c>
    </row>
    <row r="43" spans="1:14" ht="30">
      <c r="A43" s="5">
        <v>42</v>
      </c>
      <c r="B43" s="8" t="s">
        <v>41</v>
      </c>
      <c r="C43" s="5" t="s">
        <v>290</v>
      </c>
      <c r="D43" s="5" t="s">
        <v>298</v>
      </c>
      <c r="E43" s="5" t="s">
        <v>299</v>
      </c>
      <c r="G43" s="5" t="s">
        <v>300</v>
      </c>
      <c r="H43" s="5" t="s">
        <v>301</v>
      </c>
      <c r="I43" s="5" t="s">
        <v>302</v>
      </c>
      <c r="J43" s="8" t="s">
        <v>282</v>
      </c>
      <c r="K43" s="8" t="s">
        <v>261</v>
      </c>
      <c r="N43" s="8" t="s">
        <v>303</v>
      </c>
    </row>
    <row r="44" spans="1:14" ht="45">
      <c r="A44" s="5">
        <v>43</v>
      </c>
      <c r="B44" s="8" t="s">
        <v>41</v>
      </c>
      <c r="C44" s="5" t="s">
        <v>290</v>
      </c>
      <c r="D44" s="5" t="s">
        <v>304</v>
      </c>
      <c r="E44" s="5" t="s">
        <v>305</v>
      </c>
      <c r="G44" s="5" t="s">
        <v>306</v>
      </c>
      <c r="H44" s="5" t="s">
        <v>307</v>
      </c>
      <c r="I44" s="5" t="s">
        <v>308</v>
      </c>
      <c r="J44" s="8" t="s">
        <v>309</v>
      </c>
      <c r="K44" s="8" t="s">
        <v>261</v>
      </c>
      <c r="N44" s="8" t="s">
        <v>310</v>
      </c>
    </row>
    <row r="45" spans="1:14" ht="30">
      <c r="A45" s="5">
        <v>44</v>
      </c>
      <c r="B45" s="8" t="s">
        <v>41</v>
      </c>
      <c r="C45" s="5" t="s">
        <v>311</v>
      </c>
      <c r="D45" s="5" t="s">
        <v>312</v>
      </c>
      <c r="E45" s="5" t="s">
        <v>313</v>
      </c>
      <c r="F45" s="5" t="s">
        <v>314</v>
      </c>
      <c r="G45" s="5" t="s">
        <v>315</v>
      </c>
      <c r="H45" s="5" t="s">
        <v>316</v>
      </c>
      <c r="I45" s="5" t="s">
        <v>317</v>
      </c>
      <c r="J45" s="8" t="s">
        <v>318</v>
      </c>
      <c r="K45" s="8" t="s">
        <v>261</v>
      </c>
      <c r="N45" s="8" t="s">
        <v>319</v>
      </c>
    </row>
    <row r="46" spans="1:14" ht="45">
      <c r="A46" s="5">
        <v>45</v>
      </c>
      <c r="B46" s="8" t="s">
        <v>41</v>
      </c>
      <c r="C46" s="5" t="s">
        <v>311</v>
      </c>
      <c r="D46" s="5" t="s">
        <v>320</v>
      </c>
      <c r="E46" s="5" t="s">
        <v>321</v>
      </c>
      <c r="F46" s="5" t="s">
        <v>322</v>
      </c>
      <c r="G46" s="5" t="s">
        <v>323</v>
      </c>
      <c r="H46" s="5" t="s">
        <v>324</v>
      </c>
      <c r="I46" s="5" t="s">
        <v>325</v>
      </c>
      <c r="J46" s="8" t="s">
        <v>326</v>
      </c>
      <c r="K46" s="8" t="s">
        <v>261</v>
      </c>
      <c r="N46" s="8" t="s">
        <v>327</v>
      </c>
    </row>
    <row r="47" spans="1:14" ht="45">
      <c r="A47" s="8">
        <v>46</v>
      </c>
      <c r="B47" s="8" t="s">
        <v>41</v>
      </c>
      <c r="C47" s="8" t="s">
        <v>328</v>
      </c>
      <c r="D47" s="5" t="s">
        <v>329</v>
      </c>
      <c r="E47" s="5" t="s">
        <v>330</v>
      </c>
      <c r="F47" s="5" t="s">
        <v>331</v>
      </c>
      <c r="G47" s="5" t="s">
        <v>332</v>
      </c>
      <c r="H47" s="5" t="s">
        <v>333</v>
      </c>
      <c r="I47" s="5" t="s">
        <v>334</v>
      </c>
      <c r="J47" s="8" t="s">
        <v>335</v>
      </c>
      <c r="K47" s="8" t="s">
        <v>261</v>
      </c>
      <c r="N47" s="8" t="s">
        <v>336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99C4D-DFB3-4675-95DE-FA9D4784DBE5}">
  <dimension ref="A1:O25"/>
  <sheetViews>
    <sheetView workbookViewId="0">
      <selection activeCell="A2" sqref="A2"/>
    </sheetView>
  </sheetViews>
  <sheetFormatPr defaultRowHeight="21"/>
  <cols>
    <col min="1" max="1" width="16" style="12" customWidth="1"/>
    <col min="2" max="2" width="21.140625" style="12" customWidth="1"/>
    <col min="3" max="3" width="25.7109375" style="12" customWidth="1"/>
    <col min="4" max="4" width="36.42578125" style="12" customWidth="1"/>
    <col min="5" max="5" width="30.140625" style="12" customWidth="1"/>
    <col min="6" max="6" width="22.28515625" style="12" customWidth="1"/>
    <col min="7" max="7" width="54.28515625" style="12" customWidth="1"/>
    <col min="8" max="8" width="47" style="12" customWidth="1"/>
    <col min="9" max="9" width="57" style="12" customWidth="1"/>
    <col min="10" max="10" width="49" style="12" customWidth="1"/>
    <col min="11" max="11" width="15.42578125" style="12" customWidth="1"/>
    <col min="12" max="12" width="18.85546875" style="12" customWidth="1"/>
    <col min="13" max="13" width="17.28515625" style="12" customWidth="1"/>
    <col min="14" max="14" width="29.140625" style="12" customWidth="1"/>
    <col min="15" max="15" width="11" customWidth="1"/>
  </cols>
  <sheetData>
    <row r="1" spans="1:15" ht="42">
      <c r="A1" s="17" t="s">
        <v>0</v>
      </c>
      <c r="B1" s="18" t="s">
        <v>1</v>
      </c>
      <c r="C1" s="18" t="s">
        <v>38</v>
      </c>
      <c r="D1" s="18" t="s">
        <v>3</v>
      </c>
      <c r="E1" s="18" t="s">
        <v>4</v>
      </c>
      <c r="F1" s="18" t="s">
        <v>5</v>
      </c>
      <c r="G1" s="18" t="s">
        <v>6</v>
      </c>
      <c r="H1" s="18" t="s">
        <v>7</v>
      </c>
      <c r="I1" s="18" t="s">
        <v>39</v>
      </c>
      <c r="J1" s="18" t="s">
        <v>40</v>
      </c>
      <c r="K1" s="18" t="s">
        <v>10</v>
      </c>
      <c r="L1" s="18" t="s">
        <v>11</v>
      </c>
      <c r="M1" s="18" t="s">
        <v>12</v>
      </c>
      <c r="N1" s="18" t="s">
        <v>13</v>
      </c>
      <c r="O1" s="13" t="s">
        <v>337</v>
      </c>
    </row>
    <row r="2" spans="1:15" s="15" customFormat="1" ht="84">
      <c r="A2" s="16">
        <v>1</v>
      </c>
      <c r="B2" s="16" t="s">
        <v>41</v>
      </c>
      <c r="C2" s="16" t="s">
        <v>42</v>
      </c>
      <c r="D2" s="16" t="s">
        <v>43</v>
      </c>
      <c r="E2" s="16"/>
      <c r="F2" s="16"/>
      <c r="G2" s="16" t="s">
        <v>338</v>
      </c>
      <c r="H2" s="16" t="s">
        <v>45</v>
      </c>
      <c r="I2" s="16" t="s">
        <v>46</v>
      </c>
      <c r="J2" s="16" t="s">
        <v>47</v>
      </c>
      <c r="K2" s="16" t="s">
        <v>48</v>
      </c>
      <c r="L2" s="16"/>
      <c r="M2" s="16"/>
      <c r="N2" s="16" t="s">
        <v>49</v>
      </c>
      <c r="O2" s="14" t="b">
        <v>1</v>
      </c>
    </row>
    <row r="3" spans="1:15" ht="42">
      <c r="A3" s="22">
        <v>2</v>
      </c>
      <c r="B3" s="22" t="s">
        <v>41</v>
      </c>
      <c r="C3" s="166" t="s">
        <v>64</v>
      </c>
      <c r="D3" s="22" t="s">
        <v>65</v>
      </c>
      <c r="E3" s="23" t="s">
        <v>339</v>
      </c>
      <c r="F3" s="22"/>
      <c r="G3" s="22" t="s">
        <v>340</v>
      </c>
      <c r="H3" s="22" t="s">
        <v>341</v>
      </c>
      <c r="I3" s="22" t="s">
        <v>342</v>
      </c>
      <c r="J3" s="22" t="s">
        <v>343</v>
      </c>
      <c r="K3" s="22" t="s">
        <v>82</v>
      </c>
      <c r="L3" s="22"/>
      <c r="M3" s="22"/>
      <c r="N3" s="22" t="s">
        <v>70</v>
      </c>
      <c r="O3" s="11" t="b">
        <v>1</v>
      </c>
    </row>
    <row r="4" spans="1:15" ht="42">
      <c r="A4" s="16">
        <v>3</v>
      </c>
      <c r="B4" s="22" t="s">
        <v>41</v>
      </c>
      <c r="C4" s="167"/>
      <c r="D4" s="22" t="s">
        <v>71</v>
      </c>
      <c r="E4" s="23" t="s">
        <v>339</v>
      </c>
      <c r="F4" s="22"/>
      <c r="G4" s="22" t="s">
        <v>344</v>
      </c>
      <c r="H4" s="22" t="s">
        <v>345</v>
      </c>
      <c r="I4" s="22" t="s">
        <v>346</v>
      </c>
      <c r="J4" s="22" t="s">
        <v>343</v>
      </c>
      <c r="K4" s="22" t="s">
        <v>82</v>
      </c>
      <c r="L4" s="22"/>
      <c r="M4" s="22"/>
      <c r="N4" s="22" t="s">
        <v>75</v>
      </c>
      <c r="O4" s="11" t="b">
        <v>1</v>
      </c>
    </row>
    <row r="5" spans="1:15" ht="42">
      <c r="A5" s="22">
        <v>4</v>
      </c>
      <c r="B5" s="22" t="s">
        <v>41</v>
      </c>
      <c r="C5" s="167"/>
      <c r="D5" s="22" t="s">
        <v>76</v>
      </c>
      <c r="E5" s="22" t="s">
        <v>77</v>
      </c>
      <c r="G5" s="22" t="s">
        <v>78</v>
      </c>
      <c r="H5" s="23" t="s">
        <v>79</v>
      </c>
      <c r="I5" s="22" t="s">
        <v>80</v>
      </c>
      <c r="J5" s="22" t="s">
        <v>81</v>
      </c>
      <c r="K5" s="22" t="s">
        <v>82</v>
      </c>
      <c r="L5" s="22"/>
      <c r="M5" s="22"/>
      <c r="N5" s="22" t="s">
        <v>83</v>
      </c>
      <c r="O5" s="11" t="b">
        <v>1</v>
      </c>
    </row>
    <row r="6" spans="1:15" s="15" customFormat="1" ht="63">
      <c r="A6" s="16">
        <v>5</v>
      </c>
      <c r="B6" s="24" t="s">
        <v>41</v>
      </c>
      <c r="C6" s="24" t="s">
        <v>84</v>
      </c>
      <c r="D6" s="24" t="s">
        <v>85</v>
      </c>
      <c r="E6" s="24" t="s">
        <v>86</v>
      </c>
      <c r="F6" s="24" t="s">
        <v>87</v>
      </c>
      <c r="G6" s="24" t="s">
        <v>88</v>
      </c>
      <c r="H6" s="24" t="s">
        <v>89</v>
      </c>
      <c r="I6" s="24" t="s">
        <v>90</v>
      </c>
      <c r="J6" s="24" t="s">
        <v>91</v>
      </c>
      <c r="K6" s="24" t="s">
        <v>48</v>
      </c>
      <c r="L6" s="24"/>
      <c r="M6" s="24"/>
      <c r="N6" s="24" t="s">
        <v>92</v>
      </c>
      <c r="O6" s="14" t="b">
        <v>1</v>
      </c>
    </row>
    <row r="7" spans="1:15" ht="42">
      <c r="A7" s="22">
        <v>6</v>
      </c>
      <c r="B7" s="22" t="s">
        <v>41</v>
      </c>
      <c r="C7" s="162" t="s">
        <v>93</v>
      </c>
      <c r="D7" s="34" t="s">
        <v>347</v>
      </c>
      <c r="E7" s="26" t="s">
        <v>348</v>
      </c>
      <c r="F7" s="35"/>
      <c r="G7" s="22" t="s">
        <v>349</v>
      </c>
      <c r="H7" s="22" t="s">
        <v>350</v>
      </c>
      <c r="I7" s="22" t="s">
        <v>351</v>
      </c>
      <c r="J7" s="22" t="s">
        <v>352</v>
      </c>
      <c r="K7" s="22" t="s">
        <v>82</v>
      </c>
      <c r="L7" s="22"/>
      <c r="M7" s="22"/>
      <c r="N7" s="22" t="s">
        <v>353</v>
      </c>
      <c r="O7" s="11" t="b">
        <v>1</v>
      </c>
    </row>
    <row r="8" spans="1:15" s="15" customFormat="1" ht="42">
      <c r="A8" s="16">
        <v>7</v>
      </c>
      <c r="B8" s="33" t="s">
        <v>41</v>
      </c>
      <c r="C8" s="163"/>
      <c r="D8" s="32" t="s">
        <v>94</v>
      </c>
      <c r="E8" s="16"/>
      <c r="F8" s="21"/>
      <c r="G8" s="21" t="s">
        <v>95</v>
      </c>
      <c r="H8" s="21" t="s">
        <v>96</v>
      </c>
      <c r="I8" s="21" t="s">
        <v>97</v>
      </c>
      <c r="J8" s="21" t="s">
        <v>354</v>
      </c>
      <c r="K8" s="21" t="s">
        <v>48</v>
      </c>
      <c r="L8" s="21"/>
      <c r="M8" s="21"/>
      <c r="N8" s="21" t="s">
        <v>99</v>
      </c>
      <c r="O8" s="14" t="b">
        <v>1</v>
      </c>
    </row>
    <row r="9" spans="1:15" s="15" customFormat="1" ht="41.25" customHeight="1">
      <c r="A9" s="22">
        <v>8</v>
      </c>
      <c r="B9" s="19" t="s">
        <v>41</v>
      </c>
      <c r="C9" s="163"/>
      <c r="D9" s="20" t="s">
        <v>100</v>
      </c>
      <c r="E9" s="16"/>
      <c r="F9" s="16"/>
      <c r="G9" s="16" t="s">
        <v>101</v>
      </c>
      <c r="H9" s="16" t="s">
        <v>102</v>
      </c>
      <c r="I9" s="16" t="s">
        <v>103</v>
      </c>
      <c r="J9" s="16" t="s">
        <v>355</v>
      </c>
      <c r="K9" s="16" t="s">
        <v>48</v>
      </c>
      <c r="L9" s="16"/>
      <c r="M9" s="16"/>
      <c r="N9" s="16" t="s">
        <v>104</v>
      </c>
      <c r="O9" s="14" t="b">
        <v>1</v>
      </c>
    </row>
    <row r="10" spans="1:15" s="15" customFormat="1">
      <c r="A10" s="16">
        <v>9</v>
      </c>
      <c r="B10" s="19" t="s">
        <v>41</v>
      </c>
      <c r="C10" s="163"/>
      <c r="D10" s="20" t="s">
        <v>105</v>
      </c>
      <c r="E10" s="16"/>
      <c r="F10" s="16"/>
      <c r="G10" s="16" t="s">
        <v>106</v>
      </c>
      <c r="H10" s="16" t="s">
        <v>107</v>
      </c>
      <c r="I10" s="16" t="s">
        <v>108</v>
      </c>
      <c r="J10" s="16" t="s">
        <v>356</v>
      </c>
      <c r="K10" s="16" t="s">
        <v>48</v>
      </c>
      <c r="L10" s="16"/>
      <c r="M10" s="16"/>
      <c r="N10" s="16" t="s">
        <v>109</v>
      </c>
      <c r="O10" s="14" t="b">
        <v>1</v>
      </c>
    </row>
    <row r="11" spans="1:15" s="15" customFormat="1">
      <c r="A11" s="22">
        <v>10</v>
      </c>
      <c r="B11" s="19" t="s">
        <v>41</v>
      </c>
      <c r="C11" s="163"/>
      <c r="D11" s="20" t="s">
        <v>110</v>
      </c>
      <c r="E11" s="16"/>
      <c r="F11" s="16"/>
      <c r="G11" s="16" t="s">
        <v>111</v>
      </c>
      <c r="H11" s="16" t="s">
        <v>112</v>
      </c>
      <c r="I11" s="16" t="s">
        <v>113</v>
      </c>
      <c r="J11" s="16" t="s">
        <v>352</v>
      </c>
      <c r="K11" s="16" t="s">
        <v>48</v>
      </c>
      <c r="L11" s="16"/>
      <c r="M11" s="16"/>
      <c r="N11" s="16" t="s">
        <v>114</v>
      </c>
      <c r="O11" s="14" t="b">
        <v>1</v>
      </c>
    </row>
    <row r="12" spans="1:15" s="15" customFormat="1" ht="42">
      <c r="A12" s="16">
        <v>11</v>
      </c>
      <c r="B12" s="19" t="s">
        <v>41</v>
      </c>
      <c r="C12" s="163"/>
      <c r="D12" s="20" t="s">
        <v>115</v>
      </c>
      <c r="E12" s="16"/>
      <c r="F12" s="16"/>
      <c r="G12" s="16" t="s">
        <v>116</v>
      </c>
      <c r="H12" s="16" t="s">
        <v>117</v>
      </c>
      <c r="I12" s="16" t="s">
        <v>118</v>
      </c>
      <c r="J12" s="16" t="s">
        <v>357</v>
      </c>
      <c r="K12" s="16" t="s">
        <v>48</v>
      </c>
      <c r="L12" s="16"/>
      <c r="M12" s="16"/>
      <c r="N12" s="16" t="s">
        <v>119</v>
      </c>
      <c r="O12" s="14" t="b">
        <v>1</v>
      </c>
    </row>
    <row r="13" spans="1:15" s="15" customFormat="1">
      <c r="A13" s="22">
        <v>12</v>
      </c>
      <c r="B13" s="19" t="s">
        <v>41</v>
      </c>
      <c r="C13" s="163"/>
      <c r="D13" s="20" t="s">
        <v>120</v>
      </c>
      <c r="E13" s="16"/>
      <c r="F13" s="16"/>
      <c r="G13" s="16" t="s">
        <v>121</v>
      </c>
      <c r="H13" s="16" t="s">
        <v>117</v>
      </c>
      <c r="I13" s="16" t="s">
        <v>122</v>
      </c>
      <c r="J13" s="16" t="s">
        <v>358</v>
      </c>
      <c r="K13" s="16" t="s">
        <v>48</v>
      </c>
      <c r="L13" s="16"/>
      <c r="M13" s="16"/>
      <c r="N13" s="16" t="s">
        <v>123</v>
      </c>
      <c r="O13" s="14" t="b">
        <v>1</v>
      </c>
    </row>
    <row r="14" spans="1:15" s="15" customFormat="1">
      <c r="A14" s="16">
        <v>13</v>
      </c>
      <c r="B14" s="19" t="s">
        <v>41</v>
      </c>
      <c r="C14" s="163"/>
      <c r="D14" s="20" t="s">
        <v>124</v>
      </c>
      <c r="E14" s="16"/>
      <c r="F14" s="16"/>
      <c r="G14" s="16" t="s">
        <v>125</v>
      </c>
      <c r="H14" s="16" t="s">
        <v>117</v>
      </c>
      <c r="I14" s="16" t="s">
        <v>122</v>
      </c>
      <c r="J14" s="16" t="s">
        <v>352</v>
      </c>
      <c r="K14" s="16" t="s">
        <v>48</v>
      </c>
      <c r="L14" s="16"/>
      <c r="M14" s="16"/>
      <c r="N14" s="16" t="s">
        <v>126</v>
      </c>
      <c r="O14" s="14" t="b">
        <v>1</v>
      </c>
    </row>
    <row r="15" spans="1:15" ht="105">
      <c r="A15" s="22">
        <v>14</v>
      </c>
      <c r="B15" s="25" t="s">
        <v>41</v>
      </c>
      <c r="C15" s="164" t="s">
        <v>254</v>
      </c>
      <c r="D15" s="22" t="s">
        <v>255</v>
      </c>
      <c r="E15" s="22" t="s">
        <v>256</v>
      </c>
      <c r="F15" s="25"/>
      <c r="G15" s="29" t="s">
        <v>257</v>
      </c>
      <c r="H15" s="29" t="s">
        <v>258</v>
      </c>
      <c r="I15" s="22" t="s">
        <v>259</v>
      </c>
      <c r="J15" s="25" t="s">
        <v>260</v>
      </c>
      <c r="K15" s="25" t="s">
        <v>261</v>
      </c>
      <c r="L15" s="25"/>
      <c r="M15" s="25"/>
      <c r="N15" s="25" t="s">
        <v>262</v>
      </c>
      <c r="O15" s="11" t="b">
        <v>1</v>
      </c>
    </row>
    <row r="16" spans="1:15" ht="63">
      <c r="A16" s="16">
        <v>15</v>
      </c>
      <c r="B16" s="25" t="s">
        <v>41</v>
      </c>
      <c r="C16" s="164"/>
      <c r="D16" s="22" t="s">
        <v>263</v>
      </c>
      <c r="E16" s="22" t="s">
        <v>264</v>
      </c>
      <c r="F16" s="25"/>
      <c r="G16" s="29" t="s">
        <v>265</v>
      </c>
      <c r="H16" s="29" t="s">
        <v>266</v>
      </c>
      <c r="I16" s="22" t="s">
        <v>267</v>
      </c>
      <c r="J16" s="25" t="s">
        <v>268</v>
      </c>
      <c r="K16" s="25" t="s">
        <v>261</v>
      </c>
      <c r="L16" s="25"/>
      <c r="M16" s="25"/>
      <c r="N16" s="25" t="s">
        <v>269</v>
      </c>
      <c r="O16" s="11" t="b">
        <v>1</v>
      </c>
    </row>
    <row r="17" spans="1:15" ht="63">
      <c r="A17" s="22">
        <v>16</v>
      </c>
      <c r="B17" s="25" t="s">
        <v>41</v>
      </c>
      <c r="C17" s="164"/>
      <c r="D17" s="22" t="s">
        <v>270</v>
      </c>
      <c r="E17" s="22" t="s">
        <v>271</v>
      </c>
      <c r="F17" s="25"/>
      <c r="G17" s="29" t="s">
        <v>272</v>
      </c>
      <c r="H17" s="29" t="s">
        <v>273</v>
      </c>
      <c r="I17" s="22" t="s">
        <v>274</v>
      </c>
      <c r="J17" s="25" t="s">
        <v>275</v>
      </c>
      <c r="K17" s="25" t="s">
        <v>261</v>
      </c>
      <c r="L17" s="25"/>
      <c r="M17" s="25"/>
      <c r="N17" s="25" t="s">
        <v>276</v>
      </c>
      <c r="O17" s="11" t="b">
        <v>1</v>
      </c>
    </row>
    <row r="18" spans="1:15" ht="63">
      <c r="A18" s="16">
        <v>17</v>
      </c>
      <c r="B18" s="25" t="s">
        <v>41</v>
      </c>
      <c r="C18" s="164"/>
      <c r="D18" s="22" t="s">
        <v>277</v>
      </c>
      <c r="E18" s="22" t="s">
        <v>278</v>
      </c>
      <c r="F18" s="25"/>
      <c r="G18" s="29" t="s">
        <v>279</v>
      </c>
      <c r="H18" s="29" t="s">
        <v>280</v>
      </c>
      <c r="I18" s="22" t="s">
        <v>281</v>
      </c>
      <c r="J18" s="25" t="s">
        <v>282</v>
      </c>
      <c r="K18" s="25" t="s">
        <v>261</v>
      </c>
      <c r="L18" s="25"/>
      <c r="M18" s="25"/>
      <c r="N18" s="25" t="s">
        <v>283</v>
      </c>
      <c r="O18" s="11" t="b">
        <v>1</v>
      </c>
    </row>
    <row r="19" spans="1:15" ht="84">
      <c r="A19" s="22">
        <v>18</v>
      </c>
      <c r="B19" s="25" t="s">
        <v>41</v>
      </c>
      <c r="C19" s="164"/>
      <c r="D19" s="22" t="s">
        <v>277</v>
      </c>
      <c r="E19" s="22" t="s">
        <v>284</v>
      </c>
      <c r="F19" s="25"/>
      <c r="G19" s="29" t="s">
        <v>285</v>
      </c>
      <c r="H19" s="29" t="s">
        <v>286</v>
      </c>
      <c r="I19" s="22" t="s">
        <v>287</v>
      </c>
      <c r="J19" s="25" t="s">
        <v>288</v>
      </c>
      <c r="K19" s="25" t="s">
        <v>261</v>
      </c>
      <c r="L19" s="25"/>
      <c r="M19" s="25"/>
      <c r="N19" s="25" t="s">
        <v>289</v>
      </c>
      <c r="O19" s="11" t="b">
        <v>1</v>
      </c>
    </row>
    <row r="20" spans="1:15" ht="63">
      <c r="A20" s="16">
        <v>19</v>
      </c>
      <c r="B20" s="25" t="s">
        <v>41</v>
      </c>
      <c r="C20" s="165" t="s">
        <v>290</v>
      </c>
      <c r="D20" s="22" t="s">
        <v>291</v>
      </c>
      <c r="E20" s="22" t="s">
        <v>292</v>
      </c>
      <c r="F20" s="25"/>
      <c r="G20" s="22" t="s">
        <v>293</v>
      </c>
      <c r="H20" s="22" t="s">
        <v>294</v>
      </c>
      <c r="I20" s="22" t="s">
        <v>295</v>
      </c>
      <c r="J20" s="25" t="s">
        <v>296</v>
      </c>
      <c r="K20" s="25" t="s">
        <v>261</v>
      </c>
      <c r="L20" s="25"/>
      <c r="M20" s="25"/>
      <c r="N20" s="25" t="s">
        <v>297</v>
      </c>
      <c r="O20" s="11" t="b">
        <v>1</v>
      </c>
    </row>
    <row r="21" spans="1:15" ht="63">
      <c r="A21" s="22">
        <v>20</v>
      </c>
      <c r="B21" s="25" t="s">
        <v>41</v>
      </c>
      <c r="C21" s="165"/>
      <c r="D21" s="22" t="s">
        <v>298</v>
      </c>
      <c r="E21" s="22" t="s">
        <v>299</v>
      </c>
      <c r="F21" s="25"/>
      <c r="G21" s="22" t="s">
        <v>300</v>
      </c>
      <c r="H21" s="22" t="s">
        <v>301</v>
      </c>
      <c r="I21" s="22" t="s">
        <v>302</v>
      </c>
      <c r="J21" s="25" t="s">
        <v>282</v>
      </c>
      <c r="K21" s="25" t="s">
        <v>261</v>
      </c>
      <c r="L21" s="25"/>
      <c r="M21" s="25"/>
      <c r="N21" s="25" t="s">
        <v>303</v>
      </c>
      <c r="O21" s="11" t="b">
        <v>1</v>
      </c>
    </row>
    <row r="22" spans="1:15" ht="63">
      <c r="A22" s="16">
        <v>21</v>
      </c>
      <c r="B22" s="25" t="s">
        <v>41</v>
      </c>
      <c r="C22" s="165"/>
      <c r="D22" s="22" t="s">
        <v>304</v>
      </c>
      <c r="E22" s="22" t="s">
        <v>305</v>
      </c>
      <c r="F22" s="25"/>
      <c r="G22" s="22" t="s">
        <v>306</v>
      </c>
      <c r="H22" s="22" t="s">
        <v>307</v>
      </c>
      <c r="I22" s="22" t="s">
        <v>308</v>
      </c>
      <c r="J22" s="25" t="s">
        <v>309</v>
      </c>
      <c r="K22" s="25" t="s">
        <v>261</v>
      </c>
      <c r="L22" s="25"/>
      <c r="M22" s="25"/>
      <c r="N22" s="25" t="s">
        <v>310</v>
      </c>
      <c r="O22" s="11" t="b">
        <v>1</v>
      </c>
    </row>
    <row r="23" spans="1:15" ht="63">
      <c r="A23" s="22">
        <v>22</v>
      </c>
      <c r="B23" s="31" t="s">
        <v>41</v>
      </c>
      <c r="C23" s="168" t="s">
        <v>311</v>
      </c>
      <c r="D23" s="30" t="s">
        <v>312</v>
      </c>
      <c r="E23" s="30" t="s">
        <v>313</v>
      </c>
      <c r="F23" s="30" t="s">
        <v>359</v>
      </c>
      <c r="G23" s="30" t="s">
        <v>315</v>
      </c>
      <c r="H23" s="30" t="s">
        <v>316</v>
      </c>
      <c r="I23" s="30" t="s">
        <v>317</v>
      </c>
      <c r="J23" s="31" t="s">
        <v>318</v>
      </c>
      <c r="K23" s="31" t="s">
        <v>261</v>
      </c>
      <c r="L23" s="31"/>
      <c r="M23" s="31"/>
      <c r="N23" s="31" t="s">
        <v>319</v>
      </c>
      <c r="O23" s="11" t="b">
        <v>1</v>
      </c>
    </row>
    <row r="24" spans="1:15" ht="84">
      <c r="A24" s="16">
        <v>23</v>
      </c>
      <c r="B24" s="27" t="s">
        <v>41</v>
      </c>
      <c r="C24" s="169"/>
      <c r="D24" s="26" t="s">
        <v>320</v>
      </c>
      <c r="E24" s="26" t="s">
        <v>321</v>
      </c>
      <c r="F24" s="26" t="s">
        <v>322</v>
      </c>
      <c r="G24" s="26" t="s">
        <v>323</v>
      </c>
      <c r="H24" s="26" t="s">
        <v>324</v>
      </c>
      <c r="I24" s="26" t="s">
        <v>325</v>
      </c>
      <c r="J24" s="27" t="s">
        <v>326</v>
      </c>
      <c r="K24" s="27" t="s">
        <v>261</v>
      </c>
      <c r="L24" s="27"/>
      <c r="M24" s="27"/>
      <c r="N24" s="27" t="s">
        <v>327</v>
      </c>
      <c r="O24" s="11" t="b">
        <v>1</v>
      </c>
    </row>
    <row r="25" spans="1:15" ht="63">
      <c r="A25" s="22">
        <v>24</v>
      </c>
      <c r="B25" s="25" t="s">
        <v>41</v>
      </c>
      <c r="C25" s="28" t="s">
        <v>360</v>
      </c>
      <c r="D25" s="22" t="s">
        <v>329</v>
      </c>
      <c r="E25" s="22" t="s">
        <v>330</v>
      </c>
      <c r="F25" s="22" t="s">
        <v>331</v>
      </c>
      <c r="G25" s="22" t="s">
        <v>332</v>
      </c>
      <c r="H25" s="22" t="s">
        <v>333</v>
      </c>
      <c r="I25" s="22" t="s">
        <v>334</v>
      </c>
      <c r="J25" s="25" t="s">
        <v>335</v>
      </c>
      <c r="K25" s="25" t="s">
        <v>261</v>
      </c>
      <c r="L25" s="25"/>
      <c r="M25" s="25"/>
      <c r="N25" s="25" t="s">
        <v>336</v>
      </c>
      <c r="O25" s="11" t="b">
        <v>1</v>
      </c>
    </row>
  </sheetData>
  <mergeCells count="5">
    <mergeCell ref="C7:C14"/>
    <mergeCell ref="C15:C19"/>
    <mergeCell ref="C20:C22"/>
    <mergeCell ref="C3:C5"/>
    <mergeCell ref="C23:C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E9A53-A36E-4A84-A6D1-CF0A18AD4B88}">
  <dimension ref="A1:O34"/>
  <sheetViews>
    <sheetView topLeftCell="A8" workbookViewId="0"/>
  </sheetViews>
  <sheetFormatPr defaultRowHeight="15"/>
  <cols>
    <col min="3" max="3" width="17.85546875" customWidth="1"/>
    <col min="4" max="4" width="19" customWidth="1"/>
    <col min="5" max="5" width="15.140625" customWidth="1"/>
    <col min="6" max="6" width="16.42578125" customWidth="1"/>
    <col min="7" max="7" width="37.28515625" customWidth="1"/>
    <col min="8" max="8" width="67.5703125" customWidth="1"/>
    <col min="9" max="9" width="35" customWidth="1"/>
    <col min="10" max="10" width="35.28515625" customWidth="1"/>
    <col min="14" max="14" width="20.42578125" customWidth="1"/>
  </cols>
  <sheetData>
    <row r="1" spans="1:15" ht="30">
      <c r="A1" s="46" t="s">
        <v>0</v>
      </c>
      <c r="B1" s="47" t="s">
        <v>1</v>
      </c>
      <c r="C1" s="55" t="s">
        <v>38</v>
      </c>
      <c r="D1" s="47" t="s">
        <v>3</v>
      </c>
      <c r="E1" s="47" t="s">
        <v>4</v>
      </c>
      <c r="F1" s="47" t="s">
        <v>5</v>
      </c>
      <c r="G1" s="47" t="s">
        <v>6</v>
      </c>
      <c r="H1" s="47" t="s">
        <v>7</v>
      </c>
      <c r="I1" s="47" t="s">
        <v>361</v>
      </c>
      <c r="J1" s="56" t="s">
        <v>362</v>
      </c>
      <c r="K1" s="47" t="s">
        <v>10</v>
      </c>
      <c r="L1" s="47" t="s">
        <v>11</v>
      </c>
      <c r="M1" s="47" t="s">
        <v>12</v>
      </c>
      <c r="N1" s="47" t="s">
        <v>13</v>
      </c>
      <c r="O1" s="48"/>
    </row>
    <row r="2" spans="1:15" ht="95.25" customHeight="1">
      <c r="A2" s="4">
        <v>1</v>
      </c>
      <c r="B2" s="4" t="s">
        <v>41</v>
      </c>
      <c r="C2" s="49" t="s">
        <v>363</v>
      </c>
      <c r="D2" s="4" t="s">
        <v>364</v>
      </c>
      <c r="E2" s="4"/>
      <c r="F2" s="4"/>
      <c r="G2" s="5" t="s">
        <v>365</v>
      </c>
      <c r="H2" s="5" t="s">
        <v>366</v>
      </c>
      <c r="I2" s="5" t="s">
        <v>367</v>
      </c>
      <c r="J2" s="4" t="s">
        <v>368</v>
      </c>
      <c r="K2" s="4" t="s">
        <v>48</v>
      </c>
      <c r="L2" s="4"/>
      <c r="M2" s="4"/>
      <c r="N2" s="4" t="s">
        <v>369</v>
      </c>
    </row>
    <row r="3" spans="1:15" ht="81.75" customHeight="1">
      <c r="A3" s="4">
        <v>2</v>
      </c>
      <c r="B3" s="4" t="s">
        <v>41</v>
      </c>
      <c r="C3" s="49" t="s">
        <v>363</v>
      </c>
      <c r="D3" s="4" t="s">
        <v>370</v>
      </c>
      <c r="E3" s="4"/>
      <c r="F3" s="4"/>
      <c r="G3" s="5" t="s">
        <v>371</v>
      </c>
      <c r="H3" s="5" t="s">
        <v>372</v>
      </c>
      <c r="I3" s="5" t="s">
        <v>373</v>
      </c>
      <c r="J3" s="4" t="s">
        <v>368</v>
      </c>
      <c r="K3" s="4" t="s">
        <v>48</v>
      </c>
      <c r="L3" s="4"/>
      <c r="M3" s="4"/>
      <c r="N3" s="4" t="s">
        <v>246</v>
      </c>
    </row>
    <row r="4" spans="1:15" ht="54" customHeight="1">
      <c r="A4" s="4">
        <v>3</v>
      </c>
      <c r="B4" s="4" t="s">
        <v>196</v>
      </c>
      <c r="C4" s="49" t="s">
        <v>363</v>
      </c>
      <c r="D4" s="5" t="s">
        <v>374</v>
      </c>
      <c r="E4" s="4"/>
      <c r="F4" s="4"/>
      <c r="G4" s="5" t="s">
        <v>375</v>
      </c>
      <c r="H4" s="5" t="s">
        <v>376</v>
      </c>
      <c r="I4" s="5" t="s">
        <v>377</v>
      </c>
      <c r="J4" s="4" t="s">
        <v>378</v>
      </c>
      <c r="K4" s="4" t="s">
        <v>48</v>
      </c>
      <c r="L4" s="4"/>
      <c r="M4" s="4"/>
      <c r="N4" s="4" t="s">
        <v>379</v>
      </c>
    </row>
    <row r="5" spans="1:15" ht="63" customHeight="1">
      <c r="A5" s="4">
        <v>4</v>
      </c>
      <c r="B5" s="4" t="s">
        <v>41</v>
      </c>
      <c r="C5" s="50" t="s">
        <v>64</v>
      </c>
      <c r="D5" s="4" t="s">
        <v>380</v>
      </c>
      <c r="E5" s="4"/>
      <c r="F5" s="4"/>
      <c r="G5" s="5" t="s">
        <v>381</v>
      </c>
      <c r="H5" s="5" t="s">
        <v>382</v>
      </c>
      <c r="I5" s="5" t="s">
        <v>383</v>
      </c>
      <c r="J5" s="4" t="s">
        <v>384</v>
      </c>
      <c r="K5" s="4" t="s">
        <v>48</v>
      </c>
      <c r="L5" s="4"/>
      <c r="M5" s="4"/>
      <c r="N5" s="4" t="s">
        <v>70</v>
      </c>
    </row>
    <row r="6" spans="1:15" ht="64.5" customHeight="1">
      <c r="A6" s="4">
        <v>5</v>
      </c>
      <c r="B6" s="4" t="s">
        <v>41</v>
      </c>
      <c r="C6" s="50" t="s">
        <v>64</v>
      </c>
      <c r="D6" s="4" t="s">
        <v>385</v>
      </c>
      <c r="E6" s="4"/>
      <c r="F6" s="4"/>
      <c r="G6" s="5" t="s">
        <v>386</v>
      </c>
      <c r="H6" s="5" t="s">
        <v>387</v>
      </c>
      <c r="I6" s="5" t="s">
        <v>388</v>
      </c>
      <c r="J6" s="4" t="s">
        <v>384</v>
      </c>
      <c r="K6" s="4" t="s">
        <v>48</v>
      </c>
      <c r="L6" s="4"/>
      <c r="M6" s="4"/>
      <c r="N6" s="4" t="s">
        <v>75</v>
      </c>
    </row>
    <row r="7" spans="1:15" ht="85.5" customHeight="1">
      <c r="A7" s="4">
        <v>6</v>
      </c>
      <c r="B7" s="4" t="s">
        <v>41</v>
      </c>
      <c r="C7" s="50" t="s">
        <v>64</v>
      </c>
      <c r="D7" s="5" t="s">
        <v>389</v>
      </c>
      <c r="E7" s="4"/>
      <c r="F7" s="4"/>
      <c r="G7" s="5" t="s">
        <v>390</v>
      </c>
      <c r="H7" s="5" t="s">
        <v>391</v>
      </c>
      <c r="I7" s="5" t="s">
        <v>392</v>
      </c>
      <c r="J7" s="4" t="s">
        <v>393</v>
      </c>
      <c r="K7" s="4" t="s">
        <v>48</v>
      </c>
      <c r="L7" s="4"/>
      <c r="M7" s="4"/>
      <c r="N7" s="4" t="s">
        <v>136</v>
      </c>
    </row>
    <row r="8" spans="1:15" ht="45">
      <c r="A8" s="4">
        <v>7</v>
      </c>
      <c r="B8" s="4" t="s">
        <v>225</v>
      </c>
      <c r="C8" s="50" t="s">
        <v>64</v>
      </c>
      <c r="D8" s="5" t="s">
        <v>394</v>
      </c>
      <c r="E8" s="4"/>
      <c r="F8" s="4"/>
      <c r="G8" s="5" t="s">
        <v>395</v>
      </c>
      <c r="H8" s="5" t="s">
        <v>396</v>
      </c>
      <c r="I8" s="5" t="s">
        <v>397</v>
      </c>
      <c r="J8" s="4" t="s">
        <v>398</v>
      </c>
      <c r="K8" s="4" t="s">
        <v>48</v>
      </c>
      <c r="L8" s="4"/>
      <c r="M8" s="4"/>
      <c r="N8" s="4" t="s">
        <v>399</v>
      </c>
    </row>
    <row r="9" spans="1:15" ht="36.75" customHeight="1">
      <c r="A9" s="4">
        <v>8</v>
      </c>
      <c r="B9" s="4" t="s">
        <v>41</v>
      </c>
      <c r="C9" s="51" t="s">
        <v>400</v>
      </c>
      <c r="D9" s="4" t="s">
        <v>401</v>
      </c>
      <c r="E9" s="4"/>
      <c r="F9" s="4"/>
      <c r="G9" s="4" t="s">
        <v>402</v>
      </c>
      <c r="H9" s="5" t="s">
        <v>403</v>
      </c>
      <c r="I9" s="5" t="s">
        <v>404</v>
      </c>
      <c r="J9" s="4" t="s">
        <v>405</v>
      </c>
      <c r="K9" s="4" t="s">
        <v>48</v>
      </c>
      <c r="L9" s="4"/>
      <c r="M9" s="4"/>
      <c r="N9" s="4" t="s">
        <v>406</v>
      </c>
    </row>
    <row r="10" spans="1:15" ht="40.5" customHeight="1">
      <c r="A10" s="4">
        <v>9</v>
      </c>
      <c r="B10" s="4" t="s">
        <v>41</v>
      </c>
      <c r="C10" s="51" t="s">
        <v>400</v>
      </c>
      <c r="D10" s="4" t="s">
        <v>407</v>
      </c>
      <c r="E10" s="4"/>
      <c r="F10" s="4"/>
      <c r="G10" s="5" t="s">
        <v>408</v>
      </c>
      <c r="H10" s="5" t="s">
        <v>409</v>
      </c>
      <c r="I10" s="5" t="s">
        <v>410</v>
      </c>
      <c r="J10" s="4" t="s">
        <v>405</v>
      </c>
      <c r="K10" s="4" t="s">
        <v>48</v>
      </c>
      <c r="L10" s="4"/>
      <c r="M10" s="4"/>
      <c r="N10" s="4" t="s">
        <v>411</v>
      </c>
    </row>
    <row r="11" spans="1:15" ht="52.5" customHeight="1">
      <c r="A11" s="4">
        <v>10</v>
      </c>
      <c r="B11" s="4" t="s">
        <v>41</v>
      </c>
      <c r="C11" s="51" t="s">
        <v>400</v>
      </c>
      <c r="D11" s="5" t="s">
        <v>412</v>
      </c>
      <c r="E11" s="4"/>
      <c r="F11" s="4"/>
      <c r="G11" s="5" t="s">
        <v>413</v>
      </c>
      <c r="H11" s="5" t="s">
        <v>414</v>
      </c>
      <c r="I11" s="5" t="s">
        <v>415</v>
      </c>
      <c r="J11" s="4" t="s">
        <v>405</v>
      </c>
      <c r="K11" s="4" t="s">
        <v>48</v>
      </c>
      <c r="L11" s="4"/>
      <c r="M11" s="4"/>
      <c r="N11" s="4" t="s">
        <v>63</v>
      </c>
    </row>
    <row r="12" spans="1:15" ht="45">
      <c r="A12" s="4">
        <v>11</v>
      </c>
      <c r="B12" s="4" t="s">
        <v>41</v>
      </c>
      <c r="C12" s="52" t="s">
        <v>93</v>
      </c>
      <c r="D12" s="4" t="s">
        <v>416</v>
      </c>
      <c r="E12" s="4"/>
      <c r="F12" s="4"/>
      <c r="G12" s="5" t="s">
        <v>417</v>
      </c>
      <c r="H12" s="5" t="s">
        <v>418</v>
      </c>
      <c r="I12" s="5" t="s">
        <v>419</v>
      </c>
      <c r="J12" s="4" t="s">
        <v>405</v>
      </c>
      <c r="K12" s="4" t="s">
        <v>48</v>
      </c>
      <c r="L12" s="4"/>
      <c r="M12" s="4"/>
      <c r="N12" s="4" t="s">
        <v>420</v>
      </c>
    </row>
    <row r="13" spans="1:15" ht="30">
      <c r="A13" s="4">
        <v>12</v>
      </c>
      <c r="B13" s="4" t="s">
        <v>41</v>
      </c>
      <c r="C13" s="52" t="s">
        <v>93</v>
      </c>
      <c r="D13" s="5" t="s">
        <v>421</v>
      </c>
      <c r="E13" s="4"/>
      <c r="F13" s="4"/>
      <c r="G13" s="5" t="s">
        <v>422</v>
      </c>
      <c r="H13" s="5" t="s">
        <v>423</v>
      </c>
      <c r="I13" s="5" t="s">
        <v>424</v>
      </c>
      <c r="J13" s="4" t="s">
        <v>405</v>
      </c>
      <c r="K13" s="4" t="s">
        <v>48</v>
      </c>
      <c r="L13" s="4"/>
      <c r="M13" s="4"/>
      <c r="N13" s="4" t="s">
        <v>99</v>
      </c>
    </row>
    <row r="14" spans="1:15" ht="132" customHeight="1">
      <c r="A14" s="4">
        <v>13</v>
      </c>
      <c r="B14" s="4" t="s">
        <v>41</v>
      </c>
      <c r="C14" s="52" t="s">
        <v>93</v>
      </c>
      <c r="D14" s="4" t="s">
        <v>425</v>
      </c>
      <c r="E14" s="4"/>
      <c r="F14" s="4"/>
      <c r="G14" s="5" t="s">
        <v>426</v>
      </c>
      <c r="H14" s="5" t="s">
        <v>427</v>
      </c>
      <c r="I14" s="5" t="s">
        <v>428</v>
      </c>
      <c r="J14" s="5" t="s">
        <v>429</v>
      </c>
      <c r="K14" s="4" t="s">
        <v>48</v>
      </c>
      <c r="L14" s="4"/>
      <c r="M14" s="4"/>
      <c r="N14" s="4" t="s">
        <v>430</v>
      </c>
    </row>
    <row r="15" spans="1:15" ht="90">
      <c r="A15" s="4">
        <v>14</v>
      </c>
      <c r="B15" s="4" t="s">
        <v>41</v>
      </c>
      <c r="C15" s="52" t="s">
        <v>93</v>
      </c>
      <c r="D15" s="5" t="s">
        <v>431</v>
      </c>
      <c r="E15" s="4"/>
      <c r="F15" s="4"/>
      <c r="G15" s="5" t="s">
        <v>432</v>
      </c>
      <c r="H15" s="5" t="s">
        <v>433</v>
      </c>
      <c r="I15" s="5" t="s">
        <v>434</v>
      </c>
      <c r="J15" s="4" t="s">
        <v>435</v>
      </c>
      <c r="K15" s="4" t="s">
        <v>48</v>
      </c>
      <c r="L15" s="4"/>
      <c r="M15" s="4"/>
      <c r="N15" s="4" t="s">
        <v>436</v>
      </c>
    </row>
    <row r="16" spans="1:15" ht="36.75" customHeight="1">
      <c r="A16" s="4">
        <v>15</v>
      </c>
      <c r="B16" s="4" t="s">
        <v>41</v>
      </c>
      <c r="C16" s="53" t="s">
        <v>437</v>
      </c>
      <c r="D16" s="4" t="s">
        <v>438</v>
      </c>
      <c r="E16" s="4"/>
      <c r="F16" s="4"/>
      <c r="G16" s="5" t="s">
        <v>439</v>
      </c>
      <c r="H16" s="5" t="s">
        <v>440</v>
      </c>
      <c r="I16" s="5" t="s">
        <v>441</v>
      </c>
      <c r="J16" s="4" t="s">
        <v>442</v>
      </c>
      <c r="K16" s="4" t="s">
        <v>48</v>
      </c>
      <c r="L16" s="4"/>
      <c r="M16" s="4"/>
      <c r="N16" s="4" t="s">
        <v>443</v>
      </c>
    </row>
    <row r="17" spans="1:14" ht="30">
      <c r="A17" s="4">
        <v>16</v>
      </c>
      <c r="B17" s="4" t="s">
        <v>41</v>
      </c>
      <c r="C17" s="53" t="s">
        <v>437</v>
      </c>
      <c r="D17" s="5" t="s">
        <v>444</v>
      </c>
      <c r="E17" s="4"/>
      <c r="F17" s="4"/>
      <c r="G17" s="5" t="s">
        <v>445</v>
      </c>
      <c r="H17" s="5" t="s">
        <v>446</v>
      </c>
      <c r="I17" s="5" t="s">
        <v>447</v>
      </c>
      <c r="J17" s="4" t="s">
        <v>405</v>
      </c>
      <c r="K17" s="4" t="s">
        <v>48</v>
      </c>
      <c r="L17" s="4"/>
      <c r="M17" s="4"/>
      <c r="N17" s="4" t="s">
        <v>448</v>
      </c>
    </row>
    <row r="18" spans="1:14" ht="45">
      <c r="A18" s="4">
        <v>17</v>
      </c>
      <c r="B18" s="4" t="s">
        <v>41</v>
      </c>
      <c r="C18" s="53" t="s">
        <v>437</v>
      </c>
      <c r="D18" s="5" t="s">
        <v>449</v>
      </c>
      <c r="E18" s="4"/>
      <c r="F18" s="4"/>
      <c r="G18" s="5" t="s">
        <v>450</v>
      </c>
      <c r="H18" s="5" t="s">
        <v>451</v>
      </c>
      <c r="I18" s="5" t="s">
        <v>452</v>
      </c>
      <c r="J18" s="4" t="s">
        <v>405</v>
      </c>
      <c r="K18" s="4" t="s">
        <v>48</v>
      </c>
      <c r="L18" s="4"/>
      <c r="M18" s="4"/>
      <c r="N18" s="4" t="s">
        <v>453</v>
      </c>
    </row>
    <row r="19" spans="1:14" ht="45">
      <c r="A19" s="4">
        <v>18</v>
      </c>
      <c r="B19" s="4" t="s">
        <v>41</v>
      </c>
      <c r="C19" s="4" t="s">
        <v>454</v>
      </c>
      <c r="D19" s="5" t="s">
        <v>455</v>
      </c>
      <c r="E19" s="4"/>
      <c r="F19" s="4"/>
      <c r="G19" s="5" t="s">
        <v>456</v>
      </c>
      <c r="H19" s="5" t="s">
        <v>457</v>
      </c>
      <c r="I19" s="5" t="s">
        <v>458</v>
      </c>
      <c r="J19" s="4" t="s">
        <v>405</v>
      </c>
      <c r="K19" s="4" t="s">
        <v>48</v>
      </c>
      <c r="L19" s="4"/>
      <c r="M19" s="4"/>
      <c r="N19" s="4" t="s">
        <v>319</v>
      </c>
    </row>
    <row r="20" spans="1:14" ht="75">
      <c r="A20" s="4">
        <v>19</v>
      </c>
      <c r="B20" s="4" t="s">
        <v>41</v>
      </c>
      <c r="C20" s="54" t="s">
        <v>459</v>
      </c>
      <c r="D20" s="5" t="s">
        <v>460</v>
      </c>
      <c r="E20" s="4"/>
      <c r="F20" s="4"/>
      <c r="G20" s="5" t="s">
        <v>461</v>
      </c>
      <c r="H20" s="5" t="s">
        <v>462</v>
      </c>
      <c r="I20" s="5" t="s">
        <v>463</v>
      </c>
      <c r="J20" s="5" t="s">
        <v>464</v>
      </c>
      <c r="K20" s="4" t="s">
        <v>48</v>
      </c>
      <c r="L20" s="4"/>
      <c r="M20" s="4"/>
      <c r="N20" s="4" t="s">
        <v>465</v>
      </c>
    </row>
    <row r="21" spans="1:14" ht="60">
      <c r="A21" s="4">
        <v>20</v>
      </c>
      <c r="B21" s="4" t="s">
        <v>41</v>
      </c>
      <c r="C21" s="54" t="s">
        <v>459</v>
      </c>
      <c r="D21" s="5" t="s">
        <v>466</v>
      </c>
      <c r="E21" s="4"/>
      <c r="F21" s="4"/>
      <c r="G21" s="5" t="s">
        <v>467</v>
      </c>
      <c r="H21" s="5" t="s">
        <v>468</v>
      </c>
      <c r="I21" s="5" t="s">
        <v>469</v>
      </c>
      <c r="J21" s="5" t="s">
        <v>470</v>
      </c>
      <c r="K21" s="4" t="s">
        <v>48</v>
      </c>
      <c r="L21" s="4"/>
      <c r="M21" s="4"/>
      <c r="N21" s="4" t="s">
        <v>471</v>
      </c>
    </row>
    <row r="22" spans="1:14" ht="45">
      <c r="A22" s="4">
        <v>21</v>
      </c>
      <c r="B22" s="4" t="s">
        <v>225</v>
      </c>
      <c r="C22" s="4" t="s">
        <v>472</v>
      </c>
      <c r="D22" s="4" t="s">
        <v>473</v>
      </c>
      <c r="E22" s="4"/>
      <c r="F22" s="4"/>
      <c r="G22" s="5" t="s">
        <v>474</v>
      </c>
      <c r="H22" s="5" t="s">
        <v>475</v>
      </c>
      <c r="I22" s="5" t="s">
        <v>476</v>
      </c>
      <c r="J22" s="4" t="s">
        <v>477</v>
      </c>
      <c r="K22" s="4" t="s">
        <v>48</v>
      </c>
      <c r="L22" s="4"/>
      <c r="M22" s="4"/>
      <c r="N22" s="4" t="s">
        <v>478</v>
      </c>
    </row>
    <row r="23" spans="1:14" ht="92.25" customHeight="1">
      <c r="A23" s="4">
        <v>22</v>
      </c>
      <c r="B23" s="4" t="s">
        <v>41</v>
      </c>
      <c r="C23" s="5" t="s">
        <v>479</v>
      </c>
      <c r="D23" s="4" t="s">
        <v>480</v>
      </c>
      <c r="E23" s="4"/>
      <c r="F23" s="4"/>
      <c r="G23" s="5" t="s">
        <v>481</v>
      </c>
      <c r="H23" s="5" t="s">
        <v>482</v>
      </c>
      <c r="I23" s="5" t="s">
        <v>483</v>
      </c>
      <c r="J23" s="5" t="s">
        <v>484</v>
      </c>
      <c r="K23" s="4" t="s">
        <v>48</v>
      </c>
      <c r="L23" s="4"/>
      <c r="M23" s="4"/>
      <c r="N23" s="4" t="s">
        <v>485</v>
      </c>
    </row>
    <row r="31" spans="1:14">
      <c r="H31" t="s">
        <v>486</v>
      </c>
    </row>
    <row r="32" spans="1:14">
      <c r="H32" t="s">
        <v>487</v>
      </c>
    </row>
    <row r="34" spans="8:8">
      <c r="H34" t="s">
        <v>488</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9CE38-44D5-4835-8A35-2A5A66B5D442}">
  <dimension ref="A1:N63"/>
  <sheetViews>
    <sheetView topLeftCell="A19" workbookViewId="0">
      <selection activeCell="E6" sqref="E6"/>
    </sheetView>
  </sheetViews>
  <sheetFormatPr defaultRowHeight="15"/>
  <cols>
    <col min="1" max="1" width="9.42578125" customWidth="1"/>
    <col min="3" max="3" width="19.140625" customWidth="1"/>
    <col min="4" max="4" width="23.140625" customWidth="1"/>
    <col min="5" max="5" width="34.85546875" customWidth="1"/>
    <col min="6" max="6" width="32.5703125" customWidth="1"/>
    <col min="7" max="7" width="35.28515625" customWidth="1"/>
    <col min="8" max="8" width="58.85546875" customWidth="1"/>
    <col min="9" max="9" width="39.5703125" customWidth="1"/>
    <col min="10" max="10" width="29.5703125" customWidth="1"/>
    <col min="11" max="11" width="16.28515625" customWidth="1"/>
    <col min="12" max="12" width="21" customWidth="1"/>
    <col min="13" max="13" width="15.42578125" customWidth="1"/>
    <col min="14" max="14" width="23.140625" customWidth="1"/>
  </cols>
  <sheetData>
    <row r="1" spans="1:14" ht="45">
      <c r="A1" s="66" t="s">
        <v>0</v>
      </c>
      <c r="B1" s="44" t="s">
        <v>1</v>
      </c>
      <c r="C1" s="67" t="s">
        <v>38</v>
      </c>
      <c r="D1" s="44" t="s">
        <v>3</v>
      </c>
      <c r="E1" s="44" t="s">
        <v>4</v>
      </c>
      <c r="F1" s="44" t="s">
        <v>5</v>
      </c>
      <c r="G1" s="44" t="s">
        <v>6</v>
      </c>
      <c r="H1" s="44" t="s">
        <v>7</v>
      </c>
      <c r="I1" s="44" t="s">
        <v>361</v>
      </c>
      <c r="J1" s="68" t="s">
        <v>362</v>
      </c>
      <c r="K1" s="44" t="s">
        <v>10</v>
      </c>
      <c r="L1" s="44" t="s">
        <v>11</v>
      </c>
      <c r="M1" s="44" t="s">
        <v>12</v>
      </c>
      <c r="N1" s="44" t="s">
        <v>13</v>
      </c>
    </row>
    <row r="2" spans="1:14" ht="91.5" customHeight="1">
      <c r="A2" s="58">
        <v>1</v>
      </c>
      <c r="B2" s="58" t="s">
        <v>41</v>
      </c>
      <c r="C2" s="62" t="s">
        <v>363</v>
      </c>
      <c r="D2" s="58" t="s">
        <v>364</v>
      </c>
      <c r="E2" s="58"/>
      <c r="F2" s="58"/>
      <c r="G2" s="59" t="s">
        <v>365</v>
      </c>
      <c r="H2" s="59" t="s">
        <v>366</v>
      </c>
      <c r="I2" s="59" t="s">
        <v>367</v>
      </c>
      <c r="J2" s="58" t="s">
        <v>368</v>
      </c>
      <c r="K2" s="58" t="s">
        <v>48</v>
      </c>
      <c r="L2" s="58"/>
      <c r="M2" s="58"/>
      <c r="N2" s="58" t="s">
        <v>369</v>
      </c>
    </row>
    <row r="3" spans="1:14" ht="94.5" customHeight="1">
      <c r="A3" s="58">
        <v>2</v>
      </c>
      <c r="B3" s="58" t="s">
        <v>41</v>
      </c>
      <c r="C3" s="62" t="s">
        <v>363</v>
      </c>
      <c r="D3" s="58" t="s">
        <v>370</v>
      </c>
      <c r="E3" s="58"/>
      <c r="F3" s="58"/>
      <c r="G3" s="59" t="s">
        <v>371</v>
      </c>
      <c r="H3" s="59" t="s">
        <v>372</v>
      </c>
      <c r="I3" s="59" t="s">
        <v>373</v>
      </c>
      <c r="J3" s="58" t="s">
        <v>368</v>
      </c>
      <c r="K3" s="58" t="s">
        <v>48</v>
      </c>
      <c r="L3" s="58"/>
      <c r="M3" s="58"/>
      <c r="N3" s="58" t="s">
        <v>246</v>
      </c>
    </row>
    <row r="4" spans="1:14" ht="81.75" customHeight="1">
      <c r="A4" s="58">
        <v>3</v>
      </c>
      <c r="B4" s="58" t="s">
        <v>196</v>
      </c>
      <c r="C4" s="62" t="s">
        <v>363</v>
      </c>
      <c r="D4" s="59" t="s">
        <v>374</v>
      </c>
      <c r="E4" s="58"/>
      <c r="F4" s="58"/>
      <c r="G4" s="59" t="s">
        <v>375</v>
      </c>
      <c r="H4" s="59" t="s">
        <v>376</v>
      </c>
      <c r="I4" s="59" t="s">
        <v>377</v>
      </c>
      <c r="J4" s="58" t="s">
        <v>378</v>
      </c>
      <c r="K4" s="58" t="s">
        <v>48</v>
      </c>
      <c r="L4" s="58"/>
      <c r="M4" s="58"/>
      <c r="N4" s="58" t="s">
        <v>379</v>
      </c>
    </row>
    <row r="5" spans="1:14" ht="74.25" customHeight="1">
      <c r="A5" s="58">
        <v>4</v>
      </c>
      <c r="B5" s="58" t="s">
        <v>41</v>
      </c>
      <c r="C5" s="63" t="s">
        <v>64</v>
      </c>
      <c r="D5" s="58" t="s">
        <v>380</v>
      </c>
      <c r="E5" s="59" t="s">
        <v>489</v>
      </c>
      <c r="F5" s="58"/>
      <c r="G5" s="59" t="s">
        <v>381</v>
      </c>
      <c r="H5" s="59" t="s">
        <v>382</v>
      </c>
      <c r="I5" s="59" t="s">
        <v>490</v>
      </c>
      <c r="J5" s="58" t="s">
        <v>384</v>
      </c>
      <c r="K5" s="58" t="s">
        <v>48</v>
      </c>
      <c r="L5" s="58"/>
      <c r="M5" s="58"/>
      <c r="N5" s="58" t="s">
        <v>70</v>
      </c>
    </row>
    <row r="6" spans="1:14" ht="75.75" customHeight="1">
      <c r="A6" s="58">
        <v>5</v>
      </c>
      <c r="B6" s="58"/>
      <c r="C6" s="63" t="s">
        <v>64</v>
      </c>
      <c r="D6" s="58" t="s">
        <v>380</v>
      </c>
      <c r="E6" s="59" t="s">
        <v>491</v>
      </c>
      <c r="F6" s="58"/>
      <c r="G6" s="59" t="s">
        <v>492</v>
      </c>
      <c r="H6" s="59" t="s">
        <v>493</v>
      </c>
      <c r="I6" s="59" t="s">
        <v>494</v>
      </c>
      <c r="J6" s="58"/>
      <c r="K6" s="58"/>
      <c r="L6" s="58"/>
      <c r="M6" s="58"/>
      <c r="N6" s="58"/>
    </row>
    <row r="7" spans="1:14" ht="65.25" customHeight="1">
      <c r="A7" s="58">
        <v>6</v>
      </c>
      <c r="B7" s="58"/>
      <c r="C7" s="63" t="s">
        <v>64</v>
      </c>
      <c r="D7" s="58" t="s">
        <v>380</v>
      </c>
      <c r="E7" s="59" t="s">
        <v>495</v>
      </c>
      <c r="F7" s="58"/>
      <c r="G7" s="59" t="s">
        <v>496</v>
      </c>
      <c r="H7" s="59" t="s">
        <v>497</v>
      </c>
      <c r="I7" s="59" t="s">
        <v>383</v>
      </c>
      <c r="J7" s="58"/>
      <c r="K7" s="58"/>
      <c r="L7" s="58"/>
      <c r="M7" s="58"/>
      <c r="N7" s="58"/>
    </row>
    <row r="8" spans="1:14" ht="79.5" customHeight="1">
      <c r="A8" s="58">
        <v>7</v>
      </c>
      <c r="B8" s="58" t="s">
        <v>41</v>
      </c>
      <c r="C8" s="63" t="s">
        <v>64</v>
      </c>
      <c r="D8" s="58" t="s">
        <v>385</v>
      </c>
      <c r="E8" s="59" t="s">
        <v>498</v>
      </c>
      <c r="F8" s="58"/>
      <c r="G8" s="59" t="s">
        <v>386</v>
      </c>
      <c r="H8" s="59" t="s">
        <v>387</v>
      </c>
      <c r="I8" s="59" t="s">
        <v>499</v>
      </c>
      <c r="J8" s="58" t="s">
        <v>384</v>
      </c>
      <c r="K8" s="58" t="s">
        <v>48</v>
      </c>
      <c r="L8" s="58"/>
      <c r="M8" s="58"/>
      <c r="N8" s="58" t="s">
        <v>75</v>
      </c>
    </row>
    <row r="9" spans="1:14" ht="66" customHeight="1">
      <c r="A9" s="58">
        <v>8</v>
      </c>
      <c r="B9" s="58"/>
      <c r="C9" s="63" t="s">
        <v>64</v>
      </c>
      <c r="D9" s="58" t="s">
        <v>385</v>
      </c>
      <c r="E9" s="58" t="s">
        <v>500</v>
      </c>
      <c r="F9" s="58"/>
      <c r="G9" s="59" t="s">
        <v>386</v>
      </c>
      <c r="H9" s="59" t="s">
        <v>501</v>
      </c>
      <c r="I9" s="59" t="s">
        <v>499</v>
      </c>
      <c r="J9" s="58" t="s">
        <v>405</v>
      </c>
      <c r="K9" s="58"/>
      <c r="L9" s="58"/>
      <c r="M9" s="58"/>
      <c r="N9" s="58"/>
    </row>
    <row r="10" spans="1:14" ht="63" customHeight="1">
      <c r="A10" s="58">
        <v>9</v>
      </c>
      <c r="B10" s="58"/>
      <c r="C10" s="63" t="s">
        <v>64</v>
      </c>
      <c r="D10" s="58" t="s">
        <v>385</v>
      </c>
      <c r="E10" s="58" t="s">
        <v>502</v>
      </c>
      <c r="F10" s="58"/>
      <c r="G10" s="59" t="s">
        <v>386</v>
      </c>
      <c r="H10" s="59" t="s">
        <v>503</v>
      </c>
      <c r="I10" s="59" t="s">
        <v>499</v>
      </c>
      <c r="J10" s="58" t="s">
        <v>405</v>
      </c>
      <c r="K10" s="58"/>
      <c r="L10" s="58"/>
      <c r="M10" s="58"/>
      <c r="N10" s="58"/>
    </row>
    <row r="11" spans="1:14" ht="48" customHeight="1">
      <c r="A11" s="58">
        <v>10</v>
      </c>
      <c r="B11" s="58" t="s">
        <v>41</v>
      </c>
      <c r="C11" s="57" t="s">
        <v>400</v>
      </c>
      <c r="D11" s="58" t="s">
        <v>401</v>
      </c>
      <c r="E11" s="58" t="s">
        <v>504</v>
      </c>
      <c r="F11" s="58"/>
      <c r="G11" s="58" t="s">
        <v>402</v>
      </c>
      <c r="H11" s="59" t="s">
        <v>403</v>
      </c>
      <c r="I11" s="59" t="s">
        <v>404</v>
      </c>
      <c r="J11" s="58" t="s">
        <v>405</v>
      </c>
      <c r="K11" s="58" t="s">
        <v>48</v>
      </c>
      <c r="L11" s="58"/>
      <c r="M11" s="58"/>
      <c r="N11" s="58" t="s">
        <v>406</v>
      </c>
    </row>
    <row r="12" spans="1:14" ht="50.25" customHeight="1">
      <c r="A12" s="58">
        <v>11</v>
      </c>
      <c r="B12" s="58"/>
      <c r="C12" s="57" t="s">
        <v>400</v>
      </c>
      <c r="D12" s="58" t="s">
        <v>401</v>
      </c>
      <c r="E12" s="58" t="s">
        <v>505</v>
      </c>
      <c r="F12" s="58" t="s">
        <v>506</v>
      </c>
      <c r="G12" s="59" t="s">
        <v>507</v>
      </c>
      <c r="H12" s="59" t="s">
        <v>508</v>
      </c>
      <c r="I12" s="59" t="s">
        <v>509</v>
      </c>
      <c r="J12" s="58" t="s">
        <v>405</v>
      </c>
      <c r="K12" s="58"/>
      <c r="L12" s="58"/>
      <c r="M12" s="58"/>
      <c r="N12" s="58"/>
    </row>
    <row r="13" spans="1:14" ht="95.25" customHeight="1">
      <c r="A13" s="58"/>
      <c r="B13" s="58"/>
      <c r="C13" s="57" t="s">
        <v>400</v>
      </c>
      <c r="D13" s="58" t="s">
        <v>401</v>
      </c>
      <c r="E13" s="58" t="s">
        <v>505</v>
      </c>
      <c r="F13" s="58" t="s">
        <v>510</v>
      </c>
      <c r="G13" s="59" t="s">
        <v>511</v>
      </c>
      <c r="H13" s="59" t="s">
        <v>512</v>
      </c>
      <c r="I13" s="59" t="s">
        <v>513</v>
      </c>
      <c r="J13" s="58" t="s">
        <v>405</v>
      </c>
      <c r="K13" s="58"/>
      <c r="L13" s="58"/>
      <c r="M13" s="58"/>
      <c r="N13" s="58"/>
    </row>
    <row r="14" spans="1:14" ht="48.75" customHeight="1">
      <c r="A14" s="58">
        <v>12</v>
      </c>
      <c r="B14" s="58" t="s">
        <v>41</v>
      </c>
      <c r="C14" s="57" t="s">
        <v>400</v>
      </c>
      <c r="D14" s="58" t="s">
        <v>407</v>
      </c>
      <c r="E14" s="59" t="s">
        <v>514</v>
      </c>
      <c r="F14" s="58" t="s">
        <v>515</v>
      </c>
      <c r="G14" s="59" t="s">
        <v>408</v>
      </c>
      <c r="H14" s="59" t="s">
        <v>409</v>
      </c>
      <c r="I14" s="59" t="s">
        <v>410</v>
      </c>
      <c r="J14" s="58" t="s">
        <v>405</v>
      </c>
      <c r="K14" s="58" t="s">
        <v>48</v>
      </c>
      <c r="L14" s="58"/>
      <c r="M14" s="58"/>
      <c r="N14" s="58" t="s">
        <v>411</v>
      </c>
    </row>
    <row r="15" spans="1:14" ht="156.75" customHeight="1">
      <c r="A15" s="58">
        <v>13</v>
      </c>
      <c r="B15" s="58"/>
      <c r="C15" s="57" t="s">
        <v>400</v>
      </c>
      <c r="D15" s="58" t="s">
        <v>407</v>
      </c>
      <c r="E15" s="59" t="s">
        <v>514</v>
      </c>
      <c r="F15" s="58" t="s">
        <v>516</v>
      </c>
      <c r="G15" s="59" t="s">
        <v>517</v>
      </c>
      <c r="H15" s="59" t="s">
        <v>518</v>
      </c>
      <c r="I15" s="59" t="s">
        <v>519</v>
      </c>
      <c r="J15" s="58" t="s">
        <v>405</v>
      </c>
      <c r="K15" s="58"/>
      <c r="L15" s="58"/>
      <c r="M15" s="58"/>
      <c r="N15" s="58"/>
    </row>
    <row r="16" spans="1:14" ht="156" customHeight="1">
      <c r="A16" s="58">
        <v>14</v>
      </c>
      <c r="B16" s="58"/>
      <c r="C16" s="57" t="s">
        <v>400</v>
      </c>
      <c r="D16" s="60" t="s">
        <v>407</v>
      </c>
      <c r="E16" s="61" t="s">
        <v>520</v>
      </c>
      <c r="F16" s="61" t="s">
        <v>521</v>
      </c>
      <c r="G16" s="61" t="s">
        <v>522</v>
      </c>
      <c r="H16" s="59" t="s">
        <v>523</v>
      </c>
      <c r="I16" s="59" t="s">
        <v>524</v>
      </c>
      <c r="J16" s="58" t="s">
        <v>405</v>
      </c>
      <c r="K16" s="60"/>
      <c r="L16" s="60"/>
      <c r="M16" s="60"/>
      <c r="N16" s="60"/>
    </row>
    <row r="17" spans="1:14" ht="156" customHeight="1">
      <c r="A17" s="58">
        <v>15</v>
      </c>
      <c r="B17" s="58"/>
      <c r="C17" s="57" t="s">
        <v>400</v>
      </c>
      <c r="D17" s="60" t="s">
        <v>407</v>
      </c>
      <c r="E17" s="61" t="s">
        <v>520</v>
      </c>
      <c r="F17" s="61" t="s">
        <v>525</v>
      </c>
      <c r="G17" s="61" t="s">
        <v>526</v>
      </c>
      <c r="H17" s="61" t="s">
        <v>527</v>
      </c>
      <c r="I17" s="59" t="s">
        <v>524</v>
      </c>
      <c r="J17" s="58" t="s">
        <v>405</v>
      </c>
      <c r="K17" s="60"/>
      <c r="L17" s="60"/>
      <c r="M17" s="60"/>
      <c r="N17" s="60"/>
    </row>
    <row r="18" spans="1:14" ht="198.75" customHeight="1">
      <c r="A18" s="58">
        <v>16</v>
      </c>
      <c r="B18" s="58"/>
      <c r="C18" s="57" t="s">
        <v>400</v>
      </c>
      <c r="D18" s="58" t="s">
        <v>407</v>
      </c>
      <c r="E18" s="59" t="s">
        <v>528</v>
      </c>
      <c r="F18" s="59" t="s">
        <v>529</v>
      </c>
      <c r="G18" s="59" t="s">
        <v>530</v>
      </c>
      <c r="H18" s="61" t="s">
        <v>531</v>
      </c>
      <c r="I18" s="59" t="s">
        <v>524</v>
      </c>
      <c r="J18" s="58" t="s">
        <v>405</v>
      </c>
      <c r="K18" s="58"/>
      <c r="L18" s="58"/>
      <c r="M18" s="58"/>
      <c r="N18" s="58"/>
    </row>
    <row r="19" spans="1:14" ht="169.5" customHeight="1">
      <c r="A19" s="58">
        <v>17</v>
      </c>
      <c r="B19" s="58"/>
      <c r="C19" s="57" t="s">
        <v>400</v>
      </c>
      <c r="D19" s="58" t="s">
        <v>407</v>
      </c>
      <c r="E19" s="59" t="s">
        <v>528</v>
      </c>
      <c r="F19" s="59" t="s">
        <v>532</v>
      </c>
      <c r="G19" s="59" t="s">
        <v>533</v>
      </c>
      <c r="H19" s="61" t="s">
        <v>534</v>
      </c>
      <c r="I19" s="59" t="s">
        <v>524</v>
      </c>
      <c r="J19" s="58" t="s">
        <v>405</v>
      </c>
      <c r="K19" s="58"/>
      <c r="L19" s="58"/>
      <c r="M19" s="58"/>
      <c r="N19" s="58"/>
    </row>
    <row r="20" spans="1:14" ht="87.75" customHeight="1">
      <c r="A20" s="58">
        <v>18</v>
      </c>
      <c r="B20" s="58" t="s">
        <v>41</v>
      </c>
      <c r="C20" s="57" t="s">
        <v>400</v>
      </c>
      <c r="D20" s="59" t="s">
        <v>263</v>
      </c>
      <c r="E20" s="58" t="s">
        <v>535</v>
      </c>
      <c r="F20" s="58" t="s">
        <v>536</v>
      </c>
      <c r="G20" s="59" t="s">
        <v>413</v>
      </c>
      <c r="H20" s="59" t="s">
        <v>414</v>
      </c>
      <c r="I20" s="59" t="s">
        <v>415</v>
      </c>
      <c r="J20" s="58" t="s">
        <v>405</v>
      </c>
      <c r="K20" s="58" t="s">
        <v>48</v>
      </c>
      <c r="L20" s="58"/>
      <c r="M20" s="58"/>
      <c r="N20" s="58" t="s">
        <v>63</v>
      </c>
    </row>
    <row r="21" spans="1:14" ht="96" customHeight="1">
      <c r="A21" s="58">
        <v>19</v>
      </c>
      <c r="B21" s="58"/>
      <c r="C21" s="57" t="s">
        <v>400</v>
      </c>
      <c r="D21" s="59" t="s">
        <v>263</v>
      </c>
      <c r="E21" s="58" t="s">
        <v>505</v>
      </c>
      <c r="F21" s="58" t="s">
        <v>537</v>
      </c>
      <c r="G21" s="59" t="s">
        <v>538</v>
      </c>
      <c r="H21" s="59" t="s">
        <v>539</v>
      </c>
      <c r="I21" s="59" t="s">
        <v>524</v>
      </c>
      <c r="J21" s="58" t="s">
        <v>405</v>
      </c>
      <c r="K21" s="58"/>
      <c r="L21" s="58"/>
      <c r="M21" s="58"/>
      <c r="N21" s="58"/>
    </row>
    <row r="22" spans="1:14" ht="87.75" customHeight="1">
      <c r="A22" s="58">
        <v>20</v>
      </c>
      <c r="B22" s="58"/>
      <c r="C22" s="57" t="s">
        <v>400</v>
      </c>
      <c r="D22" s="59" t="s">
        <v>263</v>
      </c>
      <c r="E22" s="58" t="s">
        <v>505</v>
      </c>
      <c r="F22" s="58" t="s">
        <v>540</v>
      </c>
      <c r="G22" s="59" t="s">
        <v>541</v>
      </c>
      <c r="H22" s="59" t="s">
        <v>542</v>
      </c>
      <c r="I22" s="59" t="s">
        <v>543</v>
      </c>
      <c r="J22" s="58" t="s">
        <v>405</v>
      </c>
      <c r="K22" s="58"/>
      <c r="L22" s="58"/>
      <c r="M22" s="58"/>
      <c r="N22" s="58"/>
    </row>
    <row r="23" spans="1:14" ht="87.75" customHeight="1">
      <c r="A23" s="58">
        <v>21</v>
      </c>
      <c r="B23" s="58"/>
      <c r="C23" s="57" t="s">
        <v>400</v>
      </c>
      <c r="D23" s="59" t="s">
        <v>263</v>
      </c>
      <c r="E23" s="58" t="s">
        <v>505</v>
      </c>
      <c r="F23" s="58" t="s">
        <v>544</v>
      </c>
      <c r="G23" s="59" t="s">
        <v>545</v>
      </c>
      <c r="H23" s="59" t="s">
        <v>546</v>
      </c>
      <c r="I23" s="59" t="s">
        <v>547</v>
      </c>
      <c r="J23" s="58" t="s">
        <v>405</v>
      </c>
      <c r="K23" s="58"/>
      <c r="L23" s="58"/>
      <c r="M23" s="58"/>
      <c r="N23" s="58"/>
    </row>
    <row r="24" spans="1:14" ht="92.25" customHeight="1">
      <c r="A24" s="58">
        <v>22</v>
      </c>
      <c r="B24" s="58"/>
      <c r="C24" s="57" t="s">
        <v>400</v>
      </c>
      <c r="D24" s="61" t="s">
        <v>270</v>
      </c>
      <c r="E24" s="61" t="s">
        <v>548</v>
      </c>
      <c r="F24" s="60" t="s">
        <v>549</v>
      </c>
      <c r="G24" s="61" t="s">
        <v>550</v>
      </c>
      <c r="H24" s="59" t="s">
        <v>551</v>
      </c>
      <c r="I24" s="59" t="s">
        <v>524</v>
      </c>
      <c r="J24" s="58" t="s">
        <v>405</v>
      </c>
      <c r="K24" s="60"/>
      <c r="L24" s="60"/>
      <c r="M24" s="60"/>
      <c r="N24" s="60"/>
    </row>
    <row r="25" spans="1:14" ht="122.25" customHeight="1">
      <c r="A25" s="58">
        <v>23</v>
      </c>
      <c r="B25" s="58"/>
      <c r="C25" s="57" t="s">
        <v>400</v>
      </c>
      <c r="D25" s="61" t="s">
        <v>270</v>
      </c>
      <c r="E25" s="61" t="s">
        <v>552</v>
      </c>
      <c r="F25" s="60" t="s">
        <v>553</v>
      </c>
      <c r="G25" s="59" t="s">
        <v>554</v>
      </c>
      <c r="H25" s="59" t="s">
        <v>555</v>
      </c>
      <c r="I25" s="59" t="s">
        <v>547</v>
      </c>
      <c r="J25" s="58" t="s">
        <v>405</v>
      </c>
      <c r="K25" s="60"/>
      <c r="L25" s="60"/>
      <c r="M25" s="60"/>
      <c r="N25" s="60"/>
    </row>
    <row r="26" spans="1:14" ht="117.75" customHeight="1">
      <c r="A26" s="58">
        <v>24</v>
      </c>
      <c r="B26" s="58"/>
      <c r="C26" s="57" t="s">
        <v>400</v>
      </c>
      <c r="D26" s="59" t="s">
        <v>270</v>
      </c>
      <c r="E26" s="59" t="s">
        <v>556</v>
      </c>
      <c r="F26" s="58" t="s">
        <v>557</v>
      </c>
      <c r="G26" s="59" t="s">
        <v>558</v>
      </c>
      <c r="H26" s="59" t="s">
        <v>559</v>
      </c>
      <c r="I26" s="59" t="s">
        <v>547</v>
      </c>
      <c r="J26" s="58" t="s">
        <v>405</v>
      </c>
      <c r="K26" s="58"/>
      <c r="L26" s="58"/>
      <c r="M26" s="58"/>
      <c r="N26" s="58"/>
    </row>
    <row r="27" spans="1:14" ht="150" customHeight="1">
      <c r="A27" s="58">
        <v>25</v>
      </c>
      <c r="B27" s="58"/>
      <c r="C27" s="57" t="s">
        <v>400</v>
      </c>
      <c r="D27" s="59" t="s">
        <v>270</v>
      </c>
      <c r="E27" s="59" t="s">
        <v>556</v>
      </c>
      <c r="F27" s="58" t="s">
        <v>560</v>
      </c>
      <c r="G27" s="59" t="s">
        <v>561</v>
      </c>
      <c r="H27" s="59" t="s">
        <v>562</v>
      </c>
      <c r="I27" s="59"/>
      <c r="J27" s="58" t="s">
        <v>405</v>
      </c>
      <c r="K27" s="58"/>
      <c r="L27" s="58"/>
      <c r="M27" s="58"/>
      <c r="N27" s="58"/>
    </row>
    <row r="28" spans="1:14" ht="87.75" customHeight="1">
      <c r="A28" s="58">
        <v>26</v>
      </c>
      <c r="B28" s="58" t="s">
        <v>41</v>
      </c>
      <c r="C28" s="64" t="s">
        <v>93</v>
      </c>
      <c r="D28" s="58" t="s">
        <v>416</v>
      </c>
      <c r="E28" s="58" t="s">
        <v>498</v>
      </c>
      <c r="F28" s="58"/>
      <c r="G28" s="59" t="s">
        <v>417</v>
      </c>
      <c r="H28" s="59" t="s">
        <v>418</v>
      </c>
      <c r="I28" s="59" t="s">
        <v>419</v>
      </c>
      <c r="J28" s="58" t="s">
        <v>405</v>
      </c>
      <c r="K28" s="58" t="s">
        <v>48</v>
      </c>
      <c r="L28" s="58"/>
      <c r="M28" s="58"/>
      <c r="N28" s="58" t="s">
        <v>420</v>
      </c>
    </row>
    <row r="29" spans="1:14" ht="87.75" customHeight="1">
      <c r="A29" s="58">
        <v>27</v>
      </c>
      <c r="B29" s="58"/>
      <c r="C29" s="64" t="s">
        <v>93</v>
      </c>
      <c r="D29" s="58" t="s">
        <v>416</v>
      </c>
      <c r="E29" s="59" t="s">
        <v>563</v>
      </c>
      <c r="F29" s="58"/>
      <c r="G29" s="59"/>
      <c r="H29" s="59"/>
      <c r="I29" s="59"/>
      <c r="J29" s="58" t="s">
        <v>405</v>
      </c>
      <c r="K29" s="58"/>
      <c r="L29" s="58"/>
      <c r="M29" s="58"/>
      <c r="N29" s="58"/>
    </row>
    <row r="30" spans="1:14" ht="87.75" customHeight="1">
      <c r="A30" s="58">
        <v>28</v>
      </c>
      <c r="B30" s="58" t="s">
        <v>41</v>
      </c>
      <c r="C30" s="64" t="s">
        <v>93</v>
      </c>
      <c r="D30" s="59" t="s">
        <v>564</v>
      </c>
      <c r="E30" s="58" t="s">
        <v>505</v>
      </c>
      <c r="F30" s="58"/>
      <c r="G30" s="59" t="s">
        <v>422</v>
      </c>
      <c r="H30" s="59" t="s">
        <v>423</v>
      </c>
      <c r="I30" s="59" t="s">
        <v>424</v>
      </c>
      <c r="J30" s="58" t="s">
        <v>405</v>
      </c>
      <c r="K30" s="58" t="s">
        <v>48</v>
      </c>
      <c r="L30" s="58"/>
      <c r="M30" s="58"/>
      <c r="N30" s="58" t="s">
        <v>99</v>
      </c>
    </row>
    <row r="31" spans="1:14" ht="87.75" customHeight="1">
      <c r="A31" s="58">
        <v>29</v>
      </c>
      <c r="B31" s="58"/>
      <c r="C31" s="64" t="s">
        <v>93</v>
      </c>
      <c r="D31" s="59" t="s">
        <v>564</v>
      </c>
      <c r="E31" s="58"/>
      <c r="F31" s="58"/>
      <c r="G31" s="59"/>
      <c r="H31" s="59"/>
      <c r="I31" s="59"/>
      <c r="J31" s="58" t="s">
        <v>405</v>
      </c>
      <c r="K31" s="58"/>
      <c r="L31" s="58"/>
      <c r="M31" s="58"/>
      <c r="N31" s="58"/>
    </row>
    <row r="32" spans="1:14" ht="87.75" customHeight="1">
      <c r="A32" s="58">
        <v>30</v>
      </c>
      <c r="B32" s="58" t="s">
        <v>41</v>
      </c>
      <c r="C32" s="64" t="s">
        <v>93</v>
      </c>
      <c r="D32" s="58" t="s">
        <v>425</v>
      </c>
      <c r="E32" s="58"/>
      <c r="F32" s="58"/>
      <c r="G32" s="59" t="s">
        <v>426</v>
      </c>
      <c r="H32" s="59" t="s">
        <v>427</v>
      </c>
      <c r="I32" s="59" t="s">
        <v>428</v>
      </c>
      <c r="J32" s="59" t="s">
        <v>429</v>
      </c>
      <c r="K32" s="58" t="s">
        <v>48</v>
      </c>
      <c r="L32" s="58"/>
      <c r="M32" s="58"/>
      <c r="N32" s="58" t="s">
        <v>430</v>
      </c>
    </row>
    <row r="33" spans="1:14" ht="87.75" customHeight="1">
      <c r="A33" s="58">
        <v>31</v>
      </c>
      <c r="B33" s="58" t="s">
        <v>41</v>
      </c>
      <c r="C33" s="64" t="s">
        <v>93</v>
      </c>
      <c r="D33" s="59" t="s">
        <v>431</v>
      </c>
      <c r="E33" s="58"/>
      <c r="F33" s="58"/>
      <c r="G33" s="59" t="s">
        <v>432</v>
      </c>
      <c r="H33" s="59" t="s">
        <v>433</v>
      </c>
      <c r="I33" s="59" t="s">
        <v>434</v>
      </c>
      <c r="J33" s="58" t="s">
        <v>435</v>
      </c>
      <c r="K33" s="58" t="s">
        <v>48</v>
      </c>
      <c r="L33" s="58"/>
      <c r="M33" s="58"/>
      <c r="N33" s="58" t="s">
        <v>436</v>
      </c>
    </row>
    <row r="34" spans="1:14" ht="87.75" customHeight="1">
      <c r="A34" s="58">
        <v>32</v>
      </c>
      <c r="B34" s="58" t="s">
        <v>41</v>
      </c>
      <c r="C34" s="65" t="s">
        <v>437</v>
      </c>
      <c r="D34" s="58" t="s">
        <v>438</v>
      </c>
      <c r="E34" s="58"/>
      <c r="F34" s="58"/>
      <c r="G34" s="59" t="s">
        <v>439</v>
      </c>
      <c r="H34" s="59" t="s">
        <v>440</v>
      </c>
      <c r="I34" s="59" t="s">
        <v>441</v>
      </c>
      <c r="J34" s="58" t="s">
        <v>442</v>
      </c>
      <c r="K34" s="58" t="s">
        <v>48</v>
      </c>
      <c r="L34" s="58"/>
      <c r="M34" s="58"/>
      <c r="N34" s="58" t="s">
        <v>443</v>
      </c>
    </row>
    <row r="35" spans="1:14" ht="87.75" customHeight="1">
      <c r="A35" s="58">
        <v>33</v>
      </c>
      <c r="B35" s="58" t="s">
        <v>41</v>
      </c>
      <c r="C35" s="65" t="s">
        <v>437</v>
      </c>
      <c r="D35" s="59" t="s">
        <v>444</v>
      </c>
      <c r="E35" s="58"/>
      <c r="F35" s="58"/>
      <c r="G35" s="59" t="s">
        <v>445</v>
      </c>
      <c r="H35" s="59" t="s">
        <v>446</v>
      </c>
      <c r="I35" s="59" t="s">
        <v>447</v>
      </c>
      <c r="J35" s="58" t="s">
        <v>405</v>
      </c>
      <c r="K35" s="58" t="s">
        <v>48</v>
      </c>
      <c r="L35" s="58"/>
      <c r="M35" s="58"/>
      <c r="N35" s="58" t="s">
        <v>448</v>
      </c>
    </row>
    <row r="36" spans="1:14" ht="87.75" customHeight="1">
      <c r="A36" s="58">
        <v>34</v>
      </c>
      <c r="B36" s="58" t="s">
        <v>41</v>
      </c>
      <c r="C36" s="65" t="s">
        <v>437</v>
      </c>
      <c r="D36" s="59" t="s">
        <v>449</v>
      </c>
      <c r="E36" s="58"/>
      <c r="F36" s="58"/>
      <c r="G36" s="59" t="s">
        <v>450</v>
      </c>
      <c r="H36" s="59" t="s">
        <v>451</v>
      </c>
      <c r="I36" s="59" t="s">
        <v>452</v>
      </c>
      <c r="J36" s="58" t="s">
        <v>405</v>
      </c>
      <c r="K36" s="58" t="s">
        <v>48</v>
      </c>
      <c r="L36" s="58"/>
      <c r="M36" s="58"/>
      <c r="N36" s="58" t="s">
        <v>453</v>
      </c>
    </row>
    <row r="37" spans="1:14" ht="87.75" customHeight="1">
      <c r="A37" s="58">
        <v>35</v>
      </c>
      <c r="B37" s="58" t="s">
        <v>41</v>
      </c>
      <c r="C37" s="58" t="s">
        <v>454</v>
      </c>
      <c r="D37" s="59" t="s">
        <v>455</v>
      </c>
      <c r="E37" s="58"/>
      <c r="F37" s="58"/>
      <c r="G37" s="59" t="s">
        <v>456</v>
      </c>
      <c r="H37" s="59" t="s">
        <v>457</v>
      </c>
      <c r="I37" s="59" t="s">
        <v>458</v>
      </c>
      <c r="J37" s="58" t="s">
        <v>405</v>
      </c>
      <c r="K37" s="58" t="s">
        <v>48</v>
      </c>
      <c r="L37" s="58"/>
      <c r="M37" s="58"/>
      <c r="N37" s="58" t="s">
        <v>319</v>
      </c>
    </row>
    <row r="38" spans="1:14" ht="87.75" customHeight="1">
      <c r="A38" s="58">
        <v>36</v>
      </c>
      <c r="B38" s="58" t="s">
        <v>225</v>
      </c>
      <c r="C38" s="58" t="s">
        <v>472</v>
      </c>
      <c r="D38" s="58" t="s">
        <v>473</v>
      </c>
      <c r="E38" s="58"/>
      <c r="F38" s="58"/>
      <c r="G38" s="59" t="s">
        <v>474</v>
      </c>
      <c r="H38" s="59" t="s">
        <v>475</v>
      </c>
      <c r="I38" s="59" t="s">
        <v>476</v>
      </c>
      <c r="J38" s="58" t="s">
        <v>477</v>
      </c>
      <c r="K38" s="58" t="s">
        <v>48</v>
      </c>
      <c r="L38" s="58"/>
      <c r="M38" s="58"/>
      <c r="N38" s="58" t="s">
        <v>478</v>
      </c>
    </row>
    <row r="39" spans="1:14" ht="87.75" customHeight="1">
      <c r="A39" s="58">
        <v>37</v>
      </c>
      <c r="B39" s="58" t="s">
        <v>41</v>
      </c>
      <c r="C39" s="59" t="s">
        <v>479</v>
      </c>
      <c r="D39" s="58" t="s">
        <v>480</v>
      </c>
      <c r="E39" s="58"/>
      <c r="F39" s="58"/>
      <c r="G39" s="59" t="s">
        <v>481</v>
      </c>
      <c r="H39" s="59" t="s">
        <v>482</v>
      </c>
      <c r="I39" s="59" t="s">
        <v>483</v>
      </c>
      <c r="J39" s="59" t="s">
        <v>484</v>
      </c>
      <c r="K39" s="58" t="s">
        <v>48</v>
      </c>
      <c r="L39" s="58"/>
      <c r="M39" s="58"/>
      <c r="N39" s="58" t="s">
        <v>485</v>
      </c>
    </row>
    <row r="40" spans="1:14">
      <c r="A40" s="36"/>
      <c r="B40" s="36"/>
      <c r="C40" s="36"/>
      <c r="D40" s="36"/>
      <c r="E40" s="36"/>
      <c r="F40" s="36"/>
      <c r="G40" s="36"/>
      <c r="H40" s="36"/>
      <c r="I40" s="36"/>
      <c r="J40" s="36"/>
      <c r="K40" s="36"/>
      <c r="L40" s="36"/>
      <c r="M40" s="36"/>
      <c r="N40" s="36"/>
    </row>
    <row r="41" spans="1:14">
      <c r="A41" s="36"/>
      <c r="B41" s="36"/>
      <c r="C41" s="36"/>
      <c r="D41" s="36"/>
      <c r="E41" s="36"/>
      <c r="F41" s="36"/>
      <c r="G41" s="36"/>
      <c r="H41" s="36"/>
      <c r="I41" s="36"/>
      <c r="J41" s="36"/>
      <c r="K41" s="36"/>
      <c r="L41" s="36"/>
      <c r="M41" s="36"/>
      <c r="N41" s="36"/>
    </row>
    <row r="42" spans="1:14">
      <c r="A42" s="36"/>
      <c r="B42" s="36"/>
      <c r="C42" s="36"/>
      <c r="D42" s="36"/>
      <c r="E42" s="36"/>
      <c r="F42" s="36"/>
      <c r="G42" s="36"/>
      <c r="H42" s="36"/>
      <c r="I42" s="36"/>
      <c r="J42" s="36"/>
      <c r="K42" s="36"/>
      <c r="L42" s="36"/>
      <c r="M42" s="36"/>
      <c r="N42" s="36"/>
    </row>
    <row r="43" spans="1:14">
      <c r="A43" s="36"/>
      <c r="B43" s="36"/>
      <c r="C43" s="36"/>
      <c r="D43" s="36"/>
      <c r="E43" s="36"/>
      <c r="F43" s="36"/>
      <c r="G43" s="36"/>
      <c r="H43" s="36"/>
      <c r="I43" s="36"/>
      <c r="J43" s="36"/>
      <c r="K43" s="36"/>
      <c r="L43" s="36"/>
      <c r="M43" s="36"/>
      <c r="N43" s="36"/>
    </row>
    <row r="44" spans="1:14">
      <c r="A44" s="36"/>
      <c r="B44" s="36"/>
      <c r="C44" s="36"/>
      <c r="D44" s="36"/>
      <c r="E44" s="36"/>
      <c r="F44" s="36"/>
      <c r="G44" s="36"/>
      <c r="H44" s="36"/>
      <c r="I44" s="36"/>
      <c r="J44" s="36"/>
      <c r="K44" s="36"/>
      <c r="L44" s="36"/>
      <c r="M44" s="36"/>
      <c r="N44" s="36"/>
    </row>
    <row r="45" spans="1:14">
      <c r="A45" s="36"/>
      <c r="B45" s="36"/>
      <c r="C45" s="36"/>
      <c r="D45" s="36"/>
      <c r="E45" s="36"/>
      <c r="F45" s="36"/>
      <c r="G45" s="36"/>
      <c r="H45" s="36"/>
      <c r="I45" s="36"/>
      <c r="J45" s="36"/>
      <c r="K45" s="36"/>
      <c r="L45" s="36"/>
      <c r="M45" s="36"/>
      <c r="N45" s="36"/>
    </row>
    <row r="46" spans="1:14">
      <c r="A46" s="36"/>
      <c r="B46" s="36"/>
      <c r="C46" s="36"/>
      <c r="D46" s="36"/>
      <c r="E46" s="36"/>
      <c r="F46" s="36"/>
      <c r="G46" s="36"/>
      <c r="H46" s="36"/>
      <c r="I46" s="36"/>
      <c r="J46" s="36"/>
      <c r="K46" s="36"/>
      <c r="L46" s="36"/>
      <c r="M46" s="36"/>
      <c r="N46" s="36"/>
    </row>
    <row r="47" spans="1:14">
      <c r="A47" s="36"/>
      <c r="B47" s="36"/>
      <c r="C47" s="36"/>
      <c r="D47" s="36"/>
      <c r="E47" s="36"/>
      <c r="F47" s="36"/>
      <c r="G47" s="36"/>
      <c r="H47" s="36"/>
      <c r="I47" s="36"/>
      <c r="J47" s="36"/>
      <c r="K47" s="36"/>
      <c r="L47" s="36"/>
      <c r="M47" s="36"/>
      <c r="N47" s="36"/>
    </row>
    <row r="48" spans="1:14">
      <c r="A48" s="36"/>
      <c r="B48" s="36"/>
      <c r="C48" s="36"/>
      <c r="D48" s="36"/>
      <c r="E48" s="36"/>
      <c r="F48" s="36"/>
      <c r="G48" s="36"/>
      <c r="H48" s="36"/>
      <c r="I48" s="36"/>
      <c r="J48" s="36"/>
      <c r="K48" s="36"/>
      <c r="L48" s="36"/>
      <c r="M48" s="36"/>
      <c r="N48" s="36"/>
    </row>
    <row r="49" spans="1:14">
      <c r="A49" s="36"/>
      <c r="B49" s="36"/>
      <c r="C49" s="36"/>
      <c r="D49" s="36"/>
      <c r="E49" s="36"/>
      <c r="F49" s="36"/>
      <c r="G49" s="36"/>
      <c r="H49" s="36"/>
      <c r="I49" s="36"/>
      <c r="J49" s="36"/>
      <c r="K49" s="36"/>
      <c r="L49" s="36"/>
      <c r="M49" s="36"/>
      <c r="N49" s="36"/>
    </row>
    <row r="50" spans="1:14">
      <c r="A50" s="36"/>
      <c r="B50" s="36"/>
      <c r="C50" s="36"/>
      <c r="D50" s="36"/>
      <c r="E50" s="36"/>
      <c r="F50" s="36"/>
      <c r="G50" s="36"/>
      <c r="H50" s="36"/>
      <c r="I50" s="36"/>
      <c r="J50" s="36"/>
      <c r="K50" s="36"/>
      <c r="L50" s="36"/>
      <c r="M50" s="36"/>
      <c r="N50" s="36"/>
    </row>
    <row r="51" spans="1:14">
      <c r="A51" s="36"/>
      <c r="B51" s="36"/>
      <c r="C51" s="36"/>
      <c r="D51" s="36"/>
      <c r="E51" s="36"/>
      <c r="F51" s="36"/>
      <c r="G51" s="36"/>
      <c r="H51" s="36"/>
      <c r="I51" s="36"/>
      <c r="J51" s="36"/>
      <c r="K51" s="36"/>
      <c r="L51" s="36"/>
      <c r="M51" s="36"/>
      <c r="N51" s="36"/>
    </row>
    <row r="52" spans="1:14">
      <c r="A52" s="36"/>
      <c r="B52" s="36"/>
      <c r="C52" s="36"/>
      <c r="D52" s="36"/>
      <c r="E52" s="36"/>
      <c r="F52" s="36"/>
      <c r="G52" s="36"/>
      <c r="H52" s="36"/>
      <c r="I52" s="36"/>
      <c r="J52" s="36"/>
      <c r="K52" s="36"/>
      <c r="L52" s="36"/>
      <c r="M52" s="36"/>
      <c r="N52" s="36"/>
    </row>
    <row r="53" spans="1:14">
      <c r="A53" s="36"/>
      <c r="B53" s="36"/>
      <c r="C53" s="36"/>
      <c r="D53" s="36"/>
      <c r="E53" s="36"/>
      <c r="F53" s="36"/>
      <c r="G53" s="36"/>
      <c r="H53" s="36"/>
      <c r="I53" s="36"/>
      <c r="J53" s="36"/>
      <c r="K53" s="36"/>
      <c r="L53" s="36"/>
      <c r="M53" s="36"/>
      <c r="N53" s="36"/>
    </row>
    <row r="54" spans="1:14">
      <c r="A54" s="36"/>
      <c r="B54" s="36"/>
      <c r="C54" s="36"/>
      <c r="D54" s="36"/>
      <c r="E54" s="36"/>
      <c r="F54" s="36"/>
      <c r="G54" s="36"/>
      <c r="H54" s="36"/>
      <c r="I54" s="36"/>
      <c r="J54" s="36"/>
      <c r="K54" s="36"/>
      <c r="L54" s="36"/>
      <c r="M54" s="36"/>
      <c r="N54" s="36"/>
    </row>
    <row r="55" spans="1:14">
      <c r="A55" s="36"/>
      <c r="B55" s="36"/>
      <c r="C55" s="36"/>
      <c r="D55" s="36"/>
      <c r="E55" s="36"/>
      <c r="F55" s="36"/>
      <c r="G55" s="36"/>
      <c r="H55" s="36"/>
      <c r="I55" s="36"/>
      <c r="J55" s="36"/>
      <c r="K55" s="36"/>
      <c r="L55" s="36"/>
      <c r="M55" s="36"/>
      <c r="N55" s="36"/>
    </row>
    <row r="56" spans="1:14">
      <c r="A56" s="36"/>
      <c r="B56" s="36"/>
      <c r="C56" s="36"/>
      <c r="D56" s="36"/>
      <c r="E56" s="36"/>
      <c r="F56" s="36"/>
      <c r="G56" s="36"/>
      <c r="H56" s="36"/>
      <c r="I56" s="36"/>
      <c r="J56" s="36"/>
      <c r="K56" s="36"/>
      <c r="L56" s="36"/>
      <c r="M56" s="36"/>
      <c r="N56" s="36"/>
    </row>
    <row r="57" spans="1:14">
      <c r="A57" s="36"/>
      <c r="B57" s="36"/>
      <c r="C57" s="36"/>
      <c r="D57" s="36"/>
      <c r="E57" s="36"/>
      <c r="F57" s="36"/>
      <c r="G57" s="36"/>
      <c r="H57" s="36"/>
      <c r="I57" s="36"/>
      <c r="J57" s="36"/>
      <c r="K57" s="36"/>
      <c r="L57" s="36"/>
      <c r="M57" s="36"/>
      <c r="N57" s="36"/>
    </row>
    <row r="58" spans="1:14">
      <c r="A58" s="36"/>
      <c r="B58" s="36"/>
      <c r="C58" s="36"/>
      <c r="D58" s="36"/>
      <c r="E58" s="36"/>
      <c r="F58" s="36"/>
      <c r="G58" s="36"/>
      <c r="H58" s="36"/>
      <c r="I58" s="36"/>
      <c r="J58" s="36"/>
      <c r="K58" s="36"/>
      <c r="L58" s="36"/>
      <c r="M58" s="36"/>
      <c r="N58" s="36"/>
    </row>
    <row r="59" spans="1:14">
      <c r="A59" s="36"/>
      <c r="B59" s="36"/>
      <c r="C59" s="36"/>
      <c r="D59" s="36"/>
      <c r="E59" s="36"/>
      <c r="F59" s="36"/>
      <c r="G59" s="36"/>
      <c r="H59" s="36"/>
      <c r="I59" s="36"/>
      <c r="J59" s="36"/>
      <c r="K59" s="36"/>
      <c r="L59" s="36"/>
      <c r="M59" s="36"/>
      <c r="N59" s="36"/>
    </row>
    <row r="60" spans="1:14">
      <c r="A60" s="36"/>
      <c r="B60" s="36"/>
      <c r="C60" s="36"/>
      <c r="D60" s="36"/>
      <c r="E60" s="36"/>
      <c r="F60" s="36"/>
      <c r="G60" s="36"/>
      <c r="H60" s="36"/>
      <c r="I60" s="36"/>
      <c r="J60" s="36"/>
      <c r="K60" s="36"/>
      <c r="L60" s="36"/>
      <c r="M60" s="36"/>
      <c r="N60" s="36"/>
    </row>
    <row r="61" spans="1:14">
      <c r="A61" s="36"/>
      <c r="B61" s="36"/>
      <c r="C61" s="36"/>
      <c r="D61" s="36"/>
      <c r="E61" s="36"/>
      <c r="F61" s="36"/>
      <c r="G61" s="36"/>
      <c r="H61" s="36"/>
      <c r="I61" s="36"/>
      <c r="J61" s="36"/>
      <c r="K61" s="36"/>
      <c r="L61" s="36"/>
      <c r="M61" s="36"/>
      <c r="N61" s="36"/>
    </row>
    <row r="62" spans="1:14">
      <c r="A62" s="36"/>
      <c r="B62" s="36"/>
      <c r="C62" s="36"/>
      <c r="D62" s="36"/>
      <c r="E62" s="36"/>
      <c r="F62" s="36"/>
      <c r="G62" s="36"/>
      <c r="H62" s="36"/>
      <c r="I62" s="36"/>
      <c r="J62" s="36"/>
      <c r="K62" s="36"/>
      <c r="L62" s="36"/>
      <c r="M62" s="36"/>
      <c r="N62" s="36"/>
    </row>
    <row r="63" spans="1:14">
      <c r="A63" s="36"/>
      <c r="B63" s="36"/>
      <c r="C63" s="36"/>
      <c r="D63" s="36"/>
      <c r="E63" s="36"/>
      <c r="F63" s="36"/>
      <c r="G63" s="36"/>
      <c r="H63" s="36"/>
      <c r="I63" s="36"/>
      <c r="J63" s="36"/>
      <c r="K63" s="36"/>
      <c r="L63" s="36"/>
      <c r="M63" s="36"/>
      <c r="N63" s="36"/>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29D86-1EFA-4C40-B6E4-9518FD45C8A3}">
  <dimension ref="A1:O65"/>
  <sheetViews>
    <sheetView topLeftCell="A6" workbookViewId="0">
      <selection activeCell="H2" sqref="H2"/>
    </sheetView>
  </sheetViews>
  <sheetFormatPr defaultRowHeight="15"/>
  <cols>
    <col min="1" max="1" width="9.140625" style="76"/>
    <col min="2" max="2" width="9.42578125" style="76" customWidth="1"/>
    <col min="3" max="3" width="9.140625" style="76"/>
    <col min="4" max="4" width="15.5703125" style="76" customWidth="1"/>
    <col min="5" max="5" width="20" style="76" customWidth="1"/>
    <col min="6" max="6" width="31" style="76" customWidth="1"/>
    <col min="7" max="7" width="34.42578125" style="76" customWidth="1"/>
    <col min="8" max="8" width="49.85546875" style="76" customWidth="1"/>
    <col min="9" max="9" width="82.140625" style="76" customWidth="1"/>
    <col min="10" max="10" width="52.140625" style="76" customWidth="1"/>
    <col min="11" max="11" width="29.5703125" style="76" customWidth="1"/>
    <col min="12" max="12" width="16.28515625" style="76" customWidth="1"/>
    <col min="13" max="13" width="21" style="76" customWidth="1"/>
    <col min="14" max="14" width="15.42578125" style="76" customWidth="1"/>
    <col min="15" max="15" width="23.140625" style="76" customWidth="1"/>
    <col min="16" max="16384" width="9.140625" style="76"/>
  </cols>
  <sheetData>
    <row r="1" spans="1:15" ht="45">
      <c r="B1" s="77" t="s">
        <v>0</v>
      </c>
      <c r="C1" s="78" t="s">
        <v>1</v>
      </c>
      <c r="D1" s="79" t="s">
        <v>38</v>
      </c>
      <c r="E1" s="78" t="s">
        <v>3</v>
      </c>
      <c r="F1" s="78" t="s">
        <v>4</v>
      </c>
      <c r="G1" s="78" t="s">
        <v>5</v>
      </c>
      <c r="H1" s="78" t="s">
        <v>6</v>
      </c>
      <c r="I1" s="78" t="s">
        <v>7</v>
      </c>
      <c r="J1" s="78" t="s">
        <v>361</v>
      </c>
      <c r="K1" s="80" t="s">
        <v>362</v>
      </c>
      <c r="L1" s="78" t="s">
        <v>10</v>
      </c>
      <c r="M1" s="78" t="s">
        <v>11</v>
      </c>
      <c r="N1" s="78" t="s">
        <v>12</v>
      </c>
      <c r="O1" s="78" t="s">
        <v>13</v>
      </c>
    </row>
    <row r="2" spans="1:15" ht="79.5" customHeight="1">
      <c r="A2" s="81" t="b">
        <v>1</v>
      </c>
      <c r="B2" s="178">
        <v>1</v>
      </c>
      <c r="C2" s="71" t="s">
        <v>41</v>
      </c>
      <c r="D2" s="181" t="s">
        <v>565</v>
      </c>
      <c r="E2" s="71" t="s">
        <v>566</v>
      </c>
      <c r="F2" s="71"/>
      <c r="G2" s="71"/>
      <c r="H2" s="74" t="s">
        <v>567</v>
      </c>
      <c r="I2" s="93" t="s">
        <v>568</v>
      </c>
      <c r="J2" s="74" t="s">
        <v>569</v>
      </c>
      <c r="K2" s="71" t="s">
        <v>368</v>
      </c>
      <c r="L2" s="71" t="s">
        <v>48</v>
      </c>
      <c r="M2" s="71"/>
      <c r="N2" s="71"/>
      <c r="O2" s="71" t="s">
        <v>369</v>
      </c>
    </row>
    <row r="3" spans="1:15" ht="85.5" customHeight="1">
      <c r="A3" s="81" t="b">
        <v>1</v>
      </c>
      <c r="B3" s="179"/>
      <c r="C3" s="71" t="s">
        <v>41</v>
      </c>
      <c r="D3" s="182"/>
      <c r="E3" s="71" t="s">
        <v>570</v>
      </c>
      <c r="F3" s="71" t="s">
        <v>571</v>
      </c>
      <c r="G3" s="71"/>
      <c r="H3" s="74" t="s">
        <v>572</v>
      </c>
      <c r="I3" s="93" t="s">
        <v>573</v>
      </c>
      <c r="J3" s="74" t="s">
        <v>574</v>
      </c>
      <c r="K3" s="71" t="s">
        <v>368</v>
      </c>
      <c r="L3" s="71" t="s">
        <v>48</v>
      </c>
      <c r="M3" s="71"/>
      <c r="N3" s="71"/>
      <c r="O3" s="71" t="s">
        <v>246</v>
      </c>
    </row>
    <row r="4" spans="1:15" ht="62.25" customHeight="1">
      <c r="A4" s="81" t="b">
        <v>1</v>
      </c>
      <c r="B4" s="180"/>
      <c r="C4" s="71" t="s">
        <v>196</v>
      </c>
      <c r="D4" s="182"/>
      <c r="E4" s="74" t="s">
        <v>575</v>
      </c>
      <c r="F4" s="71" t="s">
        <v>571</v>
      </c>
      <c r="G4" s="71"/>
      <c r="H4" s="74" t="s">
        <v>576</v>
      </c>
      <c r="I4" s="93" t="s">
        <v>577</v>
      </c>
      <c r="J4" s="74" t="s">
        <v>578</v>
      </c>
      <c r="K4" s="71" t="s">
        <v>378</v>
      </c>
      <c r="L4" s="71" t="s">
        <v>48</v>
      </c>
      <c r="M4" s="71"/>
      <c r="N4" s="71"/>
      <c r="O4" s="71" t="s">
        <v>379</v>
      </c>
    </row>
    <row r="5" spans="1:15" ht="95.25" customHeight="1">
      <c r="A5" s="81" t="b">
        <v>1</v>
      </c>
      <c r="B5" s="178">
        <v>2</v>
      </c>
      <c r="C5" s="82" t="s">
        <v>41</v>
      </c>
      <c r="D5" s="183" t="s">
        <v>64</v>
      </c>
      <c r="E5" s="184" t="s">
        <v>579</v>
      </c>
      <c r="F5" s="74" t="s">
        <v>580</v>
      </c>
      <c r="G5" s="74" t="s">
        <v>581</v>
      </c>
      <c r="H5" s="74" t="s">
        <v>582</v>
      </c>
      <c r="I5" s="93" t="s">
        <v>583</v>
      </c>
      <c r="J5" s="74" t="s">
        <v>584</v>
      </c>
      <c r="K5" s="71" t="s">
        <v>384</v>
      </c>
      <c r="L5" s="71" t="s">
        <v>48</v>
      </c>
      <c r="M5" s="71"/>
      <c r="N5" s="71"/>
      <c r="O5" s="71" t="s">
        <v>70</v>
      </c>
    </row>
    <row r="6" spans="1:15" ht="111" customHeight="1">
      <c r="A6" s="81" t="b">
        <v>1</v>
      </c>
      <c r="B6" s="179"/>
      <c r="C6" s="71" t="s">
        <v>41</v>
      </c>
      <c r="D6" s="183"/>
      <c r="E6" s="185"/>
      <c r="F6" s="74" t="s">
        <v>585</v>
      </c>
      <c r="G6" s="74" t="s">
        <v>586</v>
      </c>
      <c r="H6" s="74" t="s">
        <v>587</v>
      </c>
      <c r="I6" s="93" t="s">
        <v>588</v>
      </c>
      <c r="J6" s="74" t="s">
        <v>589</v>
      </c>
      <c r="K6" s="71"/>
      <c r="L6" s="71"/>
      <c r="M6" s="71"/>
      <c r="N6" s="71"/>
      <c r="O6" s="71"/>
    </row>
    <row r="7" spans="1:15" ht="74.25" customHeight="1">
      <c r="A7" s="81" t="b">
        <v>1</v>
      </c>
      <c r="B7" s="179"/>
      <c r="C7" s="71" t="s">
        <v>41</v>
      </c>
      <c r="D7" s="183"/>
      <c r="E7" s="186"/>
      <c r="F7" s="74" t="s">
        <v>590</v>
      </c>
      <c r="G7" s="74" t="s">
        <v>591</v>
      </c>
      <c r="H7" s="74" t="s">
        <v>592</v>
      </c>
      <c r="I7" s="93" t="s">
        <v>593</v>
      </c>
      <c r="J7" s="74" t="s">
        <v>594</v>
      </c>
      <c r="K7" s="71"/>
      <c r="L7" s="71"/>
      <c r="M7" s="71"/>
      <c r="N7" s="71"/>
      <c r="O7" s="71"/>
    </row>
    <row r="8" spans="1:15" ht="64.5" customHeight="1">
      <c r="A8" s="81" t="b">
        <v>1</v>
      </c>
      <c r="B8" s="179"/>
      <c r="C8" s="82" t="s">
        <v>41</v>
      </c>
      <c r="D8" s="183"/>
      <c r="E8" s="184" t="s">
        <v>595</v>
      </c>
      <c r="F8" s="83" t="s">
        <v>580</v>
      </c>
      <c r="G8" s="74" t="s">
        <v>596</v>
      </c>
      <c r="H8" s="74" t="s">
        <v>597</v>
      </c>
      <c r="I8" s="93" t="s">
        <v>598</v>
      </c>
      <c r="J8" s="74" t="s">
        <v>599</v>
      </c>
      <c r="K8" s="71" t="s">
        <v>384</v>
      </c>
      <c r="L8" s="71" t="s">
        <v>48</v>
      </c>
      <c r="M8" s="71"/>
      <c r="N8" s="71"/>
      <c r="O8" s="71" t="s">
        <v>75</v>
      </c>
    </row>
    <row r="9" spans="1:15" ht="76.5" customHeight="1">
      <c r="A9" s="81" t="b">
        <v>1</v>
      </c>
      <c r="B9" s="179"/>
      <c r="C9" s="71" t="s">
        <v>41</v>
      </c>
      <c r="D9" s="183"/>
      <c r="E9" s="185"/>
      <c r="F9" s="71" t="s">
        <v>585</v>
      </c>
      <c r="G9" s="74" t="s">
        <v>600</v>
      </c>
      <c r="H9" s="74" t="s">
        <v>601</v>
      </c>
      <c r="I9" s="93" t="s">
        <v>602</v>
      </c>
      <c r="J9" s="74" t="s">
        <v>603</v>
      </c>
      <c r="K9" s="71" t="s">
        <v>405</v>
      </c>
      <c r="L9" s="71"/>
      <c r="M9" s="71"/>
      <c r="N9" s="71"/>
      <c r="O9" s="71"/>
    </row>
    <row r="10" spans="1:15" ht="63" customHeight="1">
      <c r="A10" s="81" t="b">
        <v>1</v>
      </c>
      <c r="B10" s="179"/>
      <c r="C10" s="71" t="s">
        <v>41</v>
      </c>
      <c r="D10" s="183"/>
      <c r="E10" s="186"/>
      <c r="F10" s="71" t="s">
        <v>590</v>
      </c>
      <c r="G10" s="74" t="s">
        <v>604</v>
      </c>
      <c r="H10" s="74" t="s">
        <v>605</v>
      </c>
      <c r="I10" s="93" t="s">
        <v>598</v>
      </c>
      <c r="J10" s="74" t="s">
        <v>599</v>
      </c>
      <c r="K10" s="71" t="s">
        <v>405</v>
      </c>
      <c r="L10" s="71"/>
      <c r="M10" s="71"/>
      <c r="N10" s="71"/>
      <c r="O10" s="71"/>
    </row>
    <row r="11" spans="1:15" ht="105.75" customHeight="1">
      <c r="A11" s="81" t="b">
        <v>1</v>
      </c>
      <c r="B11" s="180"/>
      <c r="C11" s="82" t="s">
        <v>41</v>
      </c>
      <c r="D11" s="183"/>
      <c r="E11" s="69" t="s">
        <v>606</v>
      </c>
      <c r="F11" s="74" t="s">
        <v>607</v>
      </c>
      <c r="G11" s="74" t="s">
        <v>608</v>
      </c>
      <c r="H11" s="91" t="s">
        <v>609</v>
      </c>
      <c r="I11" s="93" t="s">
        <v>610</v>
      </c>
      <c r="J11" s="74" t="s">
        <v>611</v>
      </c>
      <c r="K11" s="71" t="s">
        <v>435</v>
      </c>
      <c r="L11" s="71" t="s">
        <v>48</v>
      </c>
      <c r="M11" s="71"/>
      <c r="N11" s="71"/>
      <c r="O11" s="71" t="s">
        <v>436</v>
      </c>
    </row>
    <row r="12" spans="1:15" ht="140.25" customHeight="1">
      <c r="A12" s="81" t="b">
        <v>1</v>
      </c>
      <c r="B12" s="75">
        <v>3</v>
      </c>
      <c r="C12" s="71" t="s">
        <v>41</v>
      </c>
      <c r="D12" s="116" t="s">
        <v>612</v>
      </c>
      <c r="E12" s="71" t="s">
        <v>613</v>
      </c>
      <c r="F12" s="71" t="s">
        <v>614</v>
      </c>
      <c r="G12" s="71"/>
      <c r="H12" s="74" t="s">
        <v>615</v>
      </c>
      <c r="I12" s="93" t="s">
        <v>616</v>
      </c>
      <c r="J12" s="74" t="s">
        <v>617</v>
      </c>
      <c r="K12" s="74" t="s">
        <v>484</v>
      </c>
      <c r="L12" s="71" t="s">
        <v>48</v>
      </c>
      <c r="M12" s="71"/>
      <c r="N12" s="71"/>
      <c r="O12" s="71" t="s">
        <v>485</v>
      </c>
    </row>
    <row r="13" spans="1:15" ht="126" customHeight="1">
      <c r="A13" s="81" t="b">
        <v>1</v>
      </c>
      <c r="B13" s="170">
        <v>4</v>
      </c>
      <c r="C13" s="71" t="s">
        <v>41</v>
      </c>
      <c r="D13" s="173" t="s">
        <v>459</v>
      </c>
      <c r="E13" s="84" t="s">
        <v>618</v>
      </c>
      <c r="F13" s="85" t="s">
        <v>619</v>
      </c>
      <c r="G13" s="90"/>
      <c r="H13" s="89" t="s">
        <v>620</v>
      </c>
      <c r="I13" s="96" t="s">
        <v>621</v>
      </c>
      <c r="J13" s="86" t="s">
        <v>622</v>
      </c>
      <c r="K13" s="85"/>
      <c r="L13" s="85"/>
      <c r="M13" s="85"/>
      <c r="N13" s="85"/>
      <c r="O13" s="85"/>
    </row>
    <row r="14" spans="1:15" ht="96.75" customHeight="1">
      <c r="A14" s="81" t="b">
        <v>1</v>
      </c>
      <c r="B14" s="171"/>
      <c r="C14" s="71" t="s">
        <v>41</v>
      </c>
      <c r="D14" s="174"/>
      <c r="E14" s="176" t="s">
        <v>623</v>
      </c>
      <c r="F14" s="85" t="s">
        <v>624</v>
      </c>
      <c r="G14" s="85" t="s">
        <v>625</v>
      </c>
      <c r="H14" s="92" t="s">
        <v>626</v>
      </c>
      <c r="I14" s="97" t="s">
        <v>627</v>
      </c>
      <c r="J14" s="86" t="s">
        <v>628</v>
      </c>
      <c r="K14" s="85"/>
      <c r="L14" s="85"/>
      <c r="M14" s="85"/>
      <c r="N14" s="85"/>
      <c r="O14" s="85" t="s">
        <v>629</v>
      </c>
    </row>
    <row r="15" spans="1:15" ht="90.75" customHeight="1">
      <c r="A15" s="81" t="b">
        <v>1</v>
      </c>
      <c r="B15" s="171"/>
      <c r="C15" s="71" t="s">
        <v>41</v>
      </c>
      <c r="D15" s="174"/>
      <c r="E15" s="177"/>
      <c r="F15" s="85" t="s">
        <v>630</v>
      </c>
      <c r="G15" s="85"/>
      <c r="H15" s="86" t="s">
        <v>631</v>
      </c>
      <c r="I15" s="97" t="s">
        <v>632</v>
      </c>
      <c r="J15" s="86" t="s">
        <v>633</v>
      </c>
      <c r="K15" s="85"/>
      <c r="L15" s="85"/>
      <c r="M15" s="85"/>
      <c r="N15" s="85"/>
      <c r="O15" s="85" t="s">
        <v>634</v>
      </c>
    </row>
    <row r="16" spans="1:15" ht="79.5" customHeight="1">
      <c r="A16" s="81" t="b">
        <v>1</v>
      </c>
      <c r="B16" s="172"/>
      <c r="C16" s="71" t="s">
        <v>41</v>
      </c>
      <c r="D16" s="175"/>
      <c r="E16" s="177"/>
      <c r="F16" s="85" t="s">
        <v>635</v>
      </c>
      <c r="G16" s="85" t="s">
        <v>636</v>
      </c>
      <c r="H16" s="86" t="s">
        <v>637</v>
      </c>
      <c r="I16" s="97" t="s">
        <v>638</v>
      </c>
      <c r="J16" s="86" t="s">
        <v>639</v>
      </c>
      <c r="K16" s="85"/>
      <c r="L16" s="85"/>
      <c r="M16" s="85"/>
      <c r="N16" s="85"/>
      <c r="O16" s="85" t="s">
        <v>640</v>
      </c>
    </row>
    <row r="17" spans="1:15" ht="73.5" customHeight="1">
      <c r="A17" s="81" t="b">
        <v>1</v>
      </c>
      <c r="B17" s="70">
        <v>5</v>
      </c>
      <c r="C17" s="71" t="s">
        <v>41</v>
      </c>
      <c r="D17" s="193" t="s">
        <v>641</v>
      </c>
      <c r="E17" s="190" t="s">
        <v>642</v>
      </c>
      <c r="F17" s="95" t="s">
        <v>643</v>
      </c>
      <c r="G17" s="71" t="s">
        <v>644</v>
      </c>
      <c r="H17" s="74" t="s">
        <v>645</v>
      </c>
      <c r="I17" s="93" t="s">
        <v>646</v>
      </c>
      <c r="J17" s="74" t="s">
        <v>647</v>
      </c>
      <c r="K17" s="71" t="s">
        <v>405</v>
      </c>
      <c r="L17" s="71" t="s">
        <v>48</v>
      </c>
      <c r="M17" s="71"/>
      <c r="N17" s="71"/>
      <c r="O17" s="71" t="s">
        <v>406</v>
      </c>
    </row>
    <row r="18" spans="1:15" ht="129" customHeight="1">
      <c r="A18" s="81" t="b">
        <v>1</v>
      </c>
      <c r="B18" s="72"/>
      <c r="C18" s="71" t="s">
        <v>41</v>
      </c>
      <c r="D18" s="194"/>
      <c r="E18" s="191"/>
      <c r="F18" s="113" t="s">
        <v>648</v>
      </c>
      <c r="G18" s="74" t="s">
        <v>649</v>
      </c>
      <c r="H18" s="74" t="s">
        <v>650</v>
      </c>
      <c r="I18" s="93" t="s">
        <v>651</v>
      </c>
      <c r="J18" s="74" t="s">
        <v>652</v>
      </c>
      <c r="K18" s="71" t="s">
        <v>405</v>
      </c>
      <c r="L18" s="71"/>
      <c r="M18" s="71"/>
      <c r="N18" s="71"/>
      <c r="O18" s="71"/>
    </row>
    <row r="19" spans="1:15" ht="65.25" customHeight="1">
      <c r="A19" s="81" t="b">
        <v>1</v>
      </c>
      <c r="B19" s="72"/>
      <c r="C19" s="71" t="s">
        <v>41</v>
      </c>
      <c r="D19" s="194"/>
      <c r="E19" s="192"/>
      <c r="F19" s="112" t="s">
        <v>653</v>
      </c>
      <c r="G19" s="71" t="s">
        <v>506</v>
      </c>
      <c r="H19" s="74" t="s">
        <v>654</v>
      </c>
      <c r="I19" s="93" t="s">
        <v>655</v>
      </c>
      <c r="J19" s="74" t="s">
        <v>656</v>
      </c>
      <c r="K19" s="71" t="s">
        <v>405</v>
      </c>
      <c r="L19" s="71"/>
      <c r="M19" s="71"/>
      <c r="N19" s="71"/>
      <c r="O19" s="71"/>
    </row>
    <row r="20" spans="1:15" s="122" customFormat="1" ht="48.75" customHeight="1">
      <c r="A20" s="117" t="b">
        <v>0</v>
      </c>
      <c r="B20" s="118"/>
      <c r="C20" s="119" t="s">
        <v>41</v>
      </c>
      <c r="D20" s="194"/>
      <c r="E20" s="203" t="s">
        <v>657</v>
      </c>
      <c r="F20" s="205" t="s">
        <v>514</v>
      </c>
      <c r="G20" s="120" t="s">
        <v>658</v>
      </c>
      <c r="H20" s="120" t="s">
        <v>408</v>
      </c>
      <c r="I20" s="121" t="s">
        <v>409</v>
      </c>
      <c r="J20" s="120" t="s">
        <v>410</v>
      </c>
      <c r="K20" s="119" t="s">
        <v>405</v>
      </c>
      <c r="L20" s="119" t="s">
        <v>48</v>
      </c>
      <c r="M20" s="119"/>
      <c r="N20" s="119"/>
      <c r="O20" s="119" t="s">
        <v>411</v>
      </c>
    </row>
    <row r="21" spans="1:15" s="122" customFormat="1" ht="96.75" customHeight="1">
      <c r="A21" s="117" t="b">
        <v>0</v>
      </c>
      <c r="B21" s="118"/>
      <c r="C21" s="119" t="s">
        <v>41</v>
      </c>
      <c r="D21" s="194"/>
      <c r="E21" s="204"/>
      <c r="F21" s="206"/>
      <c r="G21" s="119" t="s">
        <v>516</v>
      </c>
      <c r="H21" s="120" t="s">
        <v>517</v>
      </c>
      <c r="I21" s="121" t="s">
        <v>518</v>
      </c>
      <c r="J21" s="120" t="s">
        <v>519</v>
      </c>
      <c r="K21" s="119" t="s">
        <v>405</v>
      </c>
      <c r="L21" s="119"/>
      <c r="M21" s="119"/>
      <c r="N21" s="119"/>
      <c r="O21" s="119"/>
    </row>
    <row r="22" spans="1:15" s="122" customFormat="1" ht="123.75" customHeight="1">
      <c r="A22" s="117" t="b">
        <v>0</v>
      </c>
      <c r="B22" s="118"/>
      <c r="C22" s="119" t="s">
        <v>41</v>
      </c>
      <c r="D22" s="194"/>
      <c r="E22" s="204"/>
      <c r="F22" s="205" t="s">
        <v>520</v>
      </c>
      <c r="G22" s="120" t="s">
        <v>521</v>
      </c>
      <c r="H22" s="120" t="s">
        <v>522</v>
      </c>
      <c r="I22" s="121" t="s">
        <v>523</v>
      </c>
      <c r="J22" s="120" t="s">
        <v>524</v>
      </c>
      <c r="K22" s="119" t="s">
        <v>405</v>
      </c>
      <c r="L22" s="119"/>
      <c r="M22" s="119"/>
      <c r="N22" s="119"/>
      <c r="O22" s="119"/>
    </row>
    <row r="23" spans="1:15" s="122" customFormat="1" ht="82.5" customHeight="1">
      <c r="A23" s="117" t="b">
        <v>0</v>
      </c>
      <c r="B23" s="118"/>
      <c r="C23" s="119" t="s">
        <v>41</v>
      </c>
      <c r="D23" s="194"/>
      <c r="E23" s="204"/>
      <c r="F23" s="206"/>
      <c r="G23" s="120" t="s">
        <v>525</v>
      </c>
      <c r="H23" s="120" t="s">
        <v>526</v>
      </c>
      <c r="I23" s="121" t="s">
        <v>527</v>
      </c>
      <c r="J23" s="120" t="s">
        <v>524</v>
      </c>
      <c r="K23" s="119" t="s">
        <v>405</v>
      </c>
      <c r="L23" s="119"/>
      <c r="M23" s="119"/>
      <c r="N23" s="119"/>
      <c r="O23" s="119"/>
    </row>
    <row r="24" spans="1:15" s="122" customFormat="1" ht="98.25" customHeight="1">
      <c r="A24" s="117" t="b">
        <v>0</v>
      </c>
      <c r="B24" s="118"/>
      <c r="C24" s="119" t="s">
        <v>41</v>
      </c>
      <c r="D24" s="194"/>
      <c r="E24" s="204"/>
      <c r="F24" s="205" t="s">
        <v>528</v>
      </c>
      <c r="G24" s="120" t="s">
        <v>529</v>
      </c>
      <c r="H24" s="120" t="s">
        <v>530</v>
      </c>
      <c r="I24" s="121" t="s">
        <v>531</v>
      </c>
      <c r="J24" s="120" t="s">
        <v>524</v>
      </c>
      <c r="K24" s="119" t="s">
        <v>405</v>
      </c>
      <c r="L24" s="119"/>
      <c r="M24" s="119"/>
      <c r="N24" s="119"/>
      <c r="O24" s="119"/>
    </row>
    <row r="25" spans="1:15" s="122" customFormat="1" ht="99" customHeight="1">
      <c r="A25" s="117" t="b">
        <v>0</v>
      </c>
      <c r="B25" s="118"/>
      <c r="C25" s="119" t="s">
        <v>41</v>
      </c>
      <c r="D25" s="194"/>
      <c r="E25" s="204"/>
      <c r="F25" s="207"/>
      <c r="G25" s="120" t="s">
        <v>532</v>
      </c>
      <c r="H25" s="120" t="s">
        <v>533</v>
      </c>
      <c r="I25" s="121" t="s">
        <v>534</v>
      </c>
      <c r="J25" s="120" t="s">
        <v>524</v>
      </c>
      <c r="K25" s="119" t="s">
        <v>405</v>
      </c>
      <c r="L25" s="119"/>
      <c r="M25" s="119"/>
      <c r="N25" s="119"/>
      <c r="O25" s="119"/>
    </row>
    <row r="26" spans="1:15" ht="72.75" customHeight="1">
      <c r="A26" s="81" t="b">
        <v>1</v>
      </c>
      <c r="B26" s="72"/>
      <c r="C26" s="71" t="s">
        <v>41</v>
      </c>
      <c r="D26" s="195"/>
      <c r="E26" s="202" t="s">
        <v>657</v>
      </c>
      <c r="F26" s="69" t="s">
        <v>659</v>
      </c>
      <c r="G26" s="69" t="s">
        <v>660</v>
      </c>
      <c r="H26" s="74" t="s">
        <v>661</v>
      </c>
      <c r="I26" s="93" t="s">
        <v>662</v>
      </c>
      <c r="J26" s="74" t="s">
        <v>663</v>
      </c>
      <c r="K26" s="71" t="s">
        <v>405</v>
      </c>
      <c r="L26" s="71" t="s">
        <v>48</v>
      </c>
      <c r="M26" s="71"/>
      <c r="N26" s="71"/>
      <c r="O26" s="71" t="s">
        <v>411</v>
      </c>
    </row>
    <row r="27" spans="1:15" ht="81.75" customHeight="1">
      <c r="A27" s="81" t="b">
        <v>1</v>
      </c>
      <c r="B27" s="72"/>
      <c r="C27" s="71" t="s">
        <v>41</v>
      </c>
      <c r="D27" s="195"/>
      <c r="E27" s="202"/>
      <c r="F27" s="184" t="s">
        <v>664</v>
      </c>
      <c r="G27" s="71" t="s">
        <v>665</v>
      </c>
      <c r="H27" s="91" t="s">
        <v>666</v>
      </c>
      <c r="I27" s="93" t="s">
        <v>667</v>
      </c>
      <c r="J27" s="74" t="s">
        <v>668</v>
      </c>
      <c r="K27" s="71" t="s">
        <v>405</v>
      </c>
      <c r="L27" s="71"/>
      <c r="M27" s="71"/>
      <c r="N27" s="71"/>
      <c r="O27" s="71"/>
    </row>
    <row r="28" spans="1:15" ht="73.5" customHeight="1">
      <c r="A28" s="81" t="b">
        <v>1</v>
      </c>
      <c r="B28" s="72"/>
      <c r="C28" s="71"/>
      <c r="D28" s="195"/>
      <c r="E28" s="202"/>
      <c r="F28" s="186"/>
      <c r="G28" s="123" t="s">
        <v>669</v>
      </c>
      <c r="H28" s="74" t="s">
        <v>670</v>
      </c>
      <c r="I28" s="124" t="s">
        <v>671</v>
      </c>
      <c r="J28" s="74" t="s">
        <v>672</v>
      </c>
      <c r="K28" s="71"/>
      <c r="L28" s="71"/>
      <c r="M28" s="71"/>
      <c r="N28" s="71"/>
      <c r="O28" s="71"/>
    </row>
    <row r="29" spans="1:15" ht="51" customHeight="1">
      <c r="A29" s="81" t="b">
        <v>0</v>
      </c>
      <c r="B29" s="72"/>
      <c r="C29" s="71" t="s">
        <v>41</v>
      </c>
      <c r="D29" s="194"/>
      <c r="E29" s="185" t="s">
        <v>673</v>
      </c>
      <c r="F29" s="200" t="s">
        <v>504</v>
      </c>
      <c r="G29" s="71" t="s">
        <v>536</v>
      </c>
      <c r="H29" s="74" t="s">
        <v>413</v>
      </c>
      <c r="I29" s="93" t="s">
        <v>414</v>
      </c>
      <c r="J29" s="74" t="s">
        <v>415</v>
      </c>
      <c r="K29" s="71" t="s">
        <v>405</v>
      </c>
      <c r="L29" s="71" t="s">
        <v>48</v>
      </c>
      <c r="M29" s="71"/>
      <c r="N29" s="71"/>
      <c r="O29" s="71" t="s">
        <v>63</v>
      </c>
    </row>
    <row r="30" spans="1:15" ht="78.75" customHeight="1">
      <c r="A30" s="81" t="b">
        <v>0</v>
      </c>
      <c r="B30" s="72"/>
      <c r="C30" s="71" t="s">
        <v>41</v>
      </c>
      <c r="D30" s="194"/>
      <c r="E30" s="185"/>
      <c r="F30" s="208"/>
      <c r="G30" s="71" t="s">
        <v>537</v>
      </c>
      <c r="H30" s="74" t="s">
        <v>538</v>
      </c>
      <c r="I30" s="93" t="s">
        <v>539</v>
      </c>
      <c r="J30" s="74" t="s">
        <v>524</v>
      </c>
      <c r="K30" s="71" t="s">
        <v>405</v>
      </c>
      <c r="L30" s="71"/>
      <c r="M30" s="71"/>
      <c r="N30" s="71"/>
      <c r="O30" s="71"/>
    </row>
    <row r="31" spans="1:15" ht="64.5" customHeight="1">
      <c r="A31" s="81" t="b">
        <v>0</v>
      </c>
      <c r="B31" s="72"/>
      <c r="C31" s="71" t="s">
        <v>41</v>
      </c>
      <c r="D31" s="194"/>
      <c r="E31" s="185"/>
      <c r="F31" s="208"/>
      <c r="G31" s="71" t="s">
        <v>540</v>
      </c>
      <c r="H31" s="74" t="s">
        <v>541</v>
      </c>
      <c r="I31" s="93" t="s">
        <v>542</v>
      </c>
      <c r="J31" s="74" t="s">
        <v>543</v>
      </c>
      <c r="K31" s="71" t="s">
        <v>405</v>
      </c>
      <c r="L31" s="71"/>
      <c r="M31" s="71"/>
      <c r="N31" s="71"/>
      <c r="O31" s="71"/>
    </row>
    <row r="32" spans="1:15" ht="60">
      <c r="A32" s="81" t="b">
        <v>0</v>
      </c>
      <c r="B32" s="72"/>
      <c r="C32" s="71" t="s">
        <v>41</v>
      </c>
      <c r="D32" s="194"/>
      <c r="E32" s="186"/>
      <c r="F32" s="201"/>
      <c r="G32" s="71" t="s">
        <v>544</v>
      </c>
      <c r="H32" s="74" t="s">
        <v>545</v>
      </c>
      <c r="I32" s="93" t="s">
        <v>546</v>
      </c>
      <c r="J32" s="74" t="s">
        <v>547</v>
      </c>
      <c r="K32" s="71" t="s">
        <v>405</v>
      </c>
      <c r="L32" s="71"/>
      <c r="M32" s="71"/>
      <c r="N32" s="71"/>
      <c r="O32" s="71"/>
    </row>
    <row r="33" spans="1:15" ht="77.25" customHeight="1">
      <c r="A33" s="81" t="b">
        <v>0</v>
      </c>
      <c r="B33" s="72"/>
      <c r="C33" s="71" t="s">
        <v>41</v>
      </c>
      <c r="D33" s="194"/>
      <c r="E33" s="114" t="s">
        <v>674</v>
      </c>
      <c r="F33" s="87" t="s">
        <v>548</v>
      </c>
      <c r="G33" s="88" t="s">
        <v>549</v>
      </c>
      <c r="H33" s="87" t="s">
        <v>550</v>
      </c>
      <c r="I33" s="93" t="s">
        <v>551</v>
      </c>
      <c r="J33" s="74" t="s">
        <v>524</v>
      </c>
      <c r="K33" s="71" t="s">
        <v>405</v>
      </c>
      <c r="L33" s="88"/>
      <c r="M33" s="88"/>
      <c r="N33" s="88"/>
      <c r="O33" s="88"/>
    </row>
    <row r="34" spans="1:15" ht="84" customHeight="1">
      <c r="A34" s="81" t="b">
        <v>0</v>
      </c>
      <c r="B34" s="72"/>
      <c r="C34" s="71" t="s">
        <v>41</v>
      </c>
      <c r="D34" s="194"/>
      <c r="E34" s="114"/>
      <c r="F34" s="87" t="s">
        <v>552</v>
      </c>
      <c r="G34" s="88" t="s">
        <v>553</v>
      </c>
      <c r="H34" s="74" t="s">
        <v>554</v>
      </c>
      <c r="I34" s="93" t="s">
        <v>555</v>
      </c>
      <c r="J34" s="74" t="s">
        <v>547</v>
      </c>
      <c r="K34" s="71" t="s">
        <v>405</v>
      </c>
      <c r="L34" s="88"/>
      <c r="M34" s="88"/>
      <c r="N34" s="88"/>
      <c r="O34" s="88"/>
    </row>
    <row r="35" spans="1:15" ht="84.75" customHeight="1">
      <c r="A35" s="81" t="b">
        <v>0</v>
      </c>
      <c r="B35" s="72"/>
      <c r="C35" s="71" t="s">
        <v>41</v>
      </c>
      <c r="D35" s="194"/>
      <c r="E35" s="114"/>
      <c r="F35" s="74" t="s">
        <v>556</v>
      </c>
      <c r="G35" s="71" t="s">
        <v>557</v>
      </c>
      <c r="H35" s="74" t="s">
        <v>558</v>
      </c>
      <c r="I35" s="93" t="s">
        <v>559</v>
      </c>
      <c r="J35" s="74" t="s">
        <v>547</v>
      </c>
      <c r="K35" s="71" t="s">
        <v>405</v>
      </c>
      <c r="L35" s="71"/>
      <c r="M35" s="71"/>
      <c r="N35" s="71"/>
      <c r="O35" s="71"/>
    </row>
    <row r="36" spans="1:15" ht="97.5" customHeight="1">
      <c r="A36" s="81" t="b">
        <v>0</v>
      </c>
      <c r="B36" s="73"/>
      <c r="C36" s="71" t="s">
        <v>41</v>
      </c>
      <c r="D36" s="196"/>
      <c r="E36" s="115"/>
      <c r="F36" s="74" t="s">
        <v>556</v>
      </c>
      <c r="G36" s="71" t="s">
        <v>560</v>
      </c>
      <c r="H36" s="74" t="s">
        <v>561</v>
      </c>
      <c r="I36" s="93" t="s">
        <v>562</v>
      </c>
      <c r="J36" s="74"/>
      <c r="K36" s="71" t="s">
        <v>405</v>
      </c>
      <c r="L36" s="71"/>
      <c r="M36" s="71"/>
      <c r="N36" s="71"/>
      <c r="O36" s="71"/>
    </row>
    <row r="37" spans="1:15" ht="82.5" customHeight="1">
      <c r="A37" s="81" t="b">
        <v>1</v>
      </c>
      <c r="B37" s="178">
        <v>6</v>
      </c>
      <c r="C37" s="71" t="s">
        <v>41</v>
      </c>
      <c r="D37" s="197" t="s">
        <v>93</v>
      </c>
      <c r="E37" s="200" t="s">
        <v>675</v>
      </c>
      <c r="F37" s="74" t="s">
        <v>676</v>
      </c>
      <c r="G37" s="74" t="s">
        <v>677</v>
      </c>
      <c r="H37" s="74" t="s">
        <v>678</v>
      </c>
      <c r="I37" s="93" t="s">
        <v>679</v>
      </c>
      <c r="J37" s="74" t="s">
        <v>680</v>
      </c>
      <c r="K37" s="71" t="s">
        <v>405</v>
      </c>
      <c r="L37" s="71" t="s">
        <v>48</v>
      </c>
      <c r="M37" s="71"/>
      <c r="N37" s="71"/>
      <c r="O37" s="71" t="s">
        <v>420</v>
      </c>
    </row>
    <row r="38" spans="1:15" ht="108" customHeight="1">
      <c r="A38" s="81" t="b">
        <v>1</v>
      </c>
      <c r="B38" s="179"/>
      <c r="C38" s="71" t="s">
        <v>41</v>
      </c>
      <c r="D38" s="198"/>
      <c r="E38" s="201"/>
      <c r="F38" s="74" t="s">
        <v>681</v>
      </c>
      <c r="G38" s="74" t="s">
        <v>682</v>
      </c>
      <c r="H38" s="74" t="s">
        <v>683</v>
      </c>
      <c r="I38" s="93" t="s">
        <v>684</v>
      </c>
      <c r="J38" s="74" t="s">
        <v>685</v>
      </c>
      <c r="K38" s="71" t="s">
        <v>405</v>
      </c>
      <c r="L38" s="71" t="s">
        <v>48</v>
      </c>
      <c r="M38" s="71"/>
      <c r="N38" s="71"/>
      <c r="O38" s="71"/>
    </row>
    <row r="39" spans="1:15" ht="106.5" customHeight="1">
      <c r="A39" s="81" t="b">
        <v>1</v>
      </c>
      <c r="B39" s="179"/>
      <c r="C39" s="71" t="s">
        <v>41</v>
      </c>
      <c r="D39" s="198"/>
      <c r="E39" s="200" t="s">
        <v>686</v>
      </c>
      <c r="F39" s="74" t="s">
        <v>687</v>
      </c>
      <c r="G39" s="74" t="s">
        <v>688</v>
      </c>
      <c r="H39" s="74" t="s">
        <v>689</v>
      </c>
      <c r="I39" s="98" t="s">
        <v>690</v>
      </c>
      <c r="J39" s="74" t="s">
        <v>691</v>
      </c>
      <c r="K39" s="71" t="s">
        <v>405</v>
      </c>
      <c r="L39" s="71" t="s">
        <v>48</v>
      </c>
      <c r="M39" s="71"/>
      <c r="N39" s="71"/>
      <c r="O39" s="71" t="s">
        <v>99</v>
      </c>
    </row>
    <row r="40" spans="1:15" ht="107.25" customHeight="1">
      <c r="A40" s="81" t="b">
        <v>1</v>
      </c>
      <c r="B40" s="179"/>
      <c r="C40" s="71" t="s">
        <v>41</v>
      </c>
      <c r="D40" s="198"/>
      <c r="E40" s="201"/>
      <c r="F40" s="74" t="s">
        <v>692</v>
      </c>
      <c r="G40" s="74" t="s">
        <v>693</v>
      </c>
      <c r="H40" s="74" t="s">
        <v>694</v>
      </c>
      <c r="I40" s="93" t="s">
        <v>695</v>
      </c>
      <c r="J40" s="74" t="s">
        <v>696</v>
      </c>
      <c r="K40" s="71" t="s">
        <v>405</v>
      </c>
      <c r="L40" s="71"/>
      <c r="M40" s="71"/>
      <c r="N40" s="71"/>
      <c r="O40" s="71"/>
    </row>
    <row r="41" spans="1:15" ht="125.25" customHeight="1">
      <c r="A41" s="81" t="b">
        <v>1</v>
      </c>
      <c r="B41" s="179"/>
      <c r="C41" s="71" t="s">
        <v>41</v>
      </c>
      <c r="D41" s="198"/>
      <c r="E41" s="200" t="s">
        <v>697</v>
      </c>
      <c r="F41" s="74" t="s">
        <v>687</v>
      </c>
      <c r="G41" s="74" t="s">
        <v>698</v>
      </c>
      <c r="H41" s="74" t="s">
        <v>699</v>
      </c>
      <c r="I41" s="93" t="s">
        <v>700</v>
      </c>
      <c r="J41" s="74" t="s">
        <v>701</v>
      </c>
      <c r="K41" s="74" t="s">
        <v>429</v>
      </c>
      <c r="L41" s="71" t="s">
        <v>48</v>
      </c>
      <c r="M41" s="71"/>
      <c r="N41" s="71"/>
      <c r="O41" s="71" t="s">
        <v>430</v>
      </c>
    </row>
    <row r="42" spans="1:15" ht="87.75" customHeight="1">
      <c r="A42" s="81" t="b">
        <v>1</v>
      </c>
      <c r="B42" s="180"/>
      <c r="C42" s="71" t="s">
        <v>41</v>
      </c>
      <c r="D42" s="199"/>
      <c r="E42" s="201"/>
      <c r="F42" s="74" t="s">
        <v>702</v>
      </c>
      <c r="G42" s="74" t="s">
        <v>703</v>
      </c>
      <c r="H42" s="74" t="s">
        <v>704</v>
      </c>
      <c r="I42" s="93" t="s">
        <v>705</v>
      </c>
      <c r="J42" s="74" t="s">
        <v>706</v>
      </c>
      <c r="K42" s="74"/>
      <c r="L42" s="71" t="s">
        <v>48</v>
      </c>
      <c r="M42" s="71"/>
      <c r="N42" s="71"/>
      <c r="O42" s="71"/>
    </row>
    <row r="43" spans="1:15" ht="54" customHeight="1">
      <c r="A43" s="81" t="b">
        <v>0</v>
      </c>
      <c r="B43" s="178">
        <v>7</v>
      </c>
      <c r="C43" s="71" t="s">
        <v>41</v>
      </c>
      <c r="D43" s="187" t="s">
        <v>437</v>
      </c>
      <c r="E43" s="71" t="s">
        <v>438</v>
      </c>
      <c r="F43" s="71"/>
      <c r="G43" s="71"/>
      <c r="H43" s="74" t="s">
        <v>439</v>
      </c>
      <c r="I43" s="93" t="s">
        <v>440</v>
      </c>
      <c r="J43" s="74" t="s">
        <v>441</v>
      </c>
      <c r="K43" s="71" t="s">
        <v>442</v>
      </c>
      <c r="L43" s="71" t="s">
        <v>48</v>
      </c>
      <c r="M43" s="71"/>
      <c r="N43" s="71"/>
      <c r="O43" s="71" t="s">
        <v>443</v>
      </c>
    </row>
    <row r="44" spans="1:15" ht="41.25" customHeight="1">
      <c r="A44" s="81" t="b">
        <v>0</v>
      </c>
      <c r="B44" s="179"/>
      <c r="C44" s="71" t="s">
        <v>41</v>
      </c>
      <c r="D44" s="188"/>
      <c r="E44" s="74" t="s">
        <v>444</v>
      </c>
      <c r="F44" s="71"/>
      <c r="G44" s="71"/>
      <c r="H44" s="74" t="s">
        <v>445</v>
      </c>
      <c r="I44" s="93" t="s">
        <v>446</v>
      </c>
      <c r="J44" s="74" t="s">
        <v>447</v>
      </c>
      <c r="K44" s="71" t="s">
        <v>405</v>
      </c>
      <c r="L44" s="71" t="s">
        <v>48</v>
      </c>
      <c r="M44" s="71"/>
      <c r="N44" s="71"/>
      <c r="O44" s="71" t="s">
        <v>448</v>
      </c>
    </row>
    <row r="45" spans="1:15" ht="51" customHeight="1">
      <c r="A45" s="81" t="b">
        <v>0</v>
      </c>
      <c r="B45" s="180"/>
      <c r="C45" s="71" t="s">
        <v>41</v>
      </c>
      <c r="D45" s="189"/>
      <c r="E45" s="74" t="s">
        <v>449</v>
      </c>
      <c r="F45" s="71"/>
      <c r="G45" s="71"/>
      <c r="H45" s="74" t="s">
        <v>450</v>
      </c>
      <c r="I45" s="93" t="s">
        <v>451</v>
      </c>
      <c r="J45" s="74" t="s">
        <v>452</v>
      </c>
      <c r="K45" s="71" t="s">
        <v>405</v>
      </c>
      <c r="L45" s="71" t="s">
        <v>48</v>
      </c>
      <c r="M45" s="71"/>
      <c r="N45" s="71"/>
      <c r="O45" s="71" t="s">
        <v>453</v>
      </c>
    </row>
    <row r="46" spans="1:15" ht="51.75" customHeight="1">
      <c r="A46" s="81" t="b">
        <v>0</v>
      </c>
      <c r="B46" s="75">
        <v>8</v>
      </c>
      <c r="C46" s="71" t="s">
        <v>41</v>
      </c>
      <c r="D46" s="94" t="s">
        <v>454</v>
      </c>
      <c r="E46" s="74" t="s">
        <v>455</v>
      </c>
      <c r="F46" s="71"/>
      <c r="G46" s="71"/>
      <c r="H46" s="74" t="s">
        <v>456</v>
      </c>
      <c r="I46" s="93" t="s">
        <v>457</v>
      </c>
      <c r="J46" s="74" t="s">
        <v>458</v>
      </c>
      <c r="K46" s="71" t="s">
        <v>405</v>
      </c>
      <c r="L46" s="71" t="s">
        <v>48</v>
      </c>
      <c r="M46" s="71"/>
      <c r="N46" s="71"/>
      <c r="O46" s="71" t="s">
        <v>319</v>
      </c>
    </row>
    <row r="47" spans="1:15" ht="39" customHeight="1">
      <c r="A47" s="81" t="b">
        <v>0</v>
      </c>
      <c r="B47" s="75">
        <v>9</v>
      </c>
      <c r="C47" s="71" t="s">
        <v>225</v>
      </c>
      <c r="D47" s="94" t="s">
        <v>472</v>
      </c>
      <c r="E47" s="71" t="s">
        <v>473</v>
      </c>
      <c r="F47" s="71"/>
      <c r="G47" s="71"/>
      <c r="H47" s="74" t="s">
        <v>474</v>
      </c>
      <c r="I47" s="93" t="s">
        <v>475</v>
      </c>
      <c r="J47" s="74" t="s">
        <v>476</v>
      </c>
      <c r="K47" s="71" t="s">
        <v>477</v>
      </c>
      <c r="L47" s="71" t="s">
        <v>48</v>
      </c>
      <c r="M47" s="71"/>
      <c r="N47" s="71"/>
      <c r="O47" s="71" t="s">
        <v>478</v>
      </c>
    </row>
    <row r="48" spans="1:15">
      <c r="B48" s="85"/>
      <c r="C48" s="85"/>
      <c r="D48" s="85"/>
      <c r="E48" s="85"/>
      <c r="F48" s="85"/>
      <c r="G48" s="85"/>
      <c r="H48" s="85"/>
      <c r="I48" s="85"/>
      <c r="J48" s="85"/>
      <c r="K48" s="85"/>
      <c r="L48" s="85"/>
      <c r="M48" s="85"/>
      <c r="N48" s="85"/>
      <c r="O48" s="85"/>
    </row>
    <row r="49" spans="2:15">
      <c r="B49" s="85"/>
      <c r="C49" s="85"/>
      <c r="D49" s="85"/>
      <c r="E49" s="85"/>
      <c r="F49" s="85"/>
      <c r="G49" s="85"/>
      <c r="H49" s="85"/>
      <c r="I49" s="85"/>
      <c r="J49" s="85"/>
      <c r="K49" s="85"/>
      <c r="L49" s="85"/>
      <c r="M49" s="85"/>
      <c r="N49" s="85"/>
      <c r="O49" s="85"/>
    </row>
    <row r="50" spans="2:15">
      <c r="B50" s="85"/>
      <c r="C50" s="85"/>
      <c r="D50" s="85"/>
      <c r="E50" s="85"/>
      <c r="F50" s="85"/>
      <c r="G50" s="85"/>
      <c r="H50" s="85"/>
      <c r="I50" s="85"/>
      <c r="J50" s="85"/>
      <c r="K50" s="85"/>
      <c r="L50" s="85"/>
      <c r="M50" s="85"/>
      <c r="N50" s="85"/>
      <c r="O50" s="85"/>
    </row>
    <row r="51" spans="2:15">
      <c r="B51" s="85"/>
      <c r="C51" s="85"/>
      <c r="D51" s="85"/>
      <c r="E51" s="85"/>
      <c r="F51" s="85"/>
      <c r="G51" s="85"/>
      <c r="H51" s="85"/>
      <c r="I51" s="85"/>
      <c r="J51" s="85"/>
      <c r="K51" s="85"/>
      <c r="L51" s="85"/>
      <c r="M51" s="85"/>
      <c r="N51" s="85"/>
      <c r="O51" s="85"/>
    </row>
    <row r="52" spans="2:15">
      <c r="B52" s="85"/>
      <c r="C52" s="85"/>
      <c r="D52" s="85"/>
      <c r="E52" s="85"/>
      <c r="F52" s="85"/>
      <c r="G52" s="85"/>
      <c r="H52" s="85"/>
      <c r="I52" s="85"/>
      <c r="J52" s="85"/>
      <c r="K52" s="85"/>
      <c r="L52" s="85"/>
      <c r="M52" s="85"/>
      <c r="N52" s="85"/>
      <c r="O52" s="85"/>
    </row>
    <row r="53" spans="2:15">
      <c r="B53" s="85"/>
      <c r="C53" s="85"/>
      <c r="D53" s="85"/>
      <c r="E53" s="85"/>
      <c r="F53" s="85"/>
      <c r="G53" s="85"/>
      <c r="H53" s="85"/>
      <c r="I53" s="85"/>
      <c r="J53" s="85"/>
      <c r="K53" s="85"/>
      <c r="L53" s="85"/>
      <c r="M53" s="85"/>
      <c r="N53" s="85"/>
      <c r="O53" s="85"/>
    </row>
    <row r="54" spans="2:15">
      <c r="B54" s="85"/>
      <c r="C54" s="85"/>
      <c r="D54" s="85"/>
      <c r="E54" s="85"/>
      <c r="F54" s="85"/>
      <c r="G54" s="85"/>
      <c r="H54" s="85"/>
      <c r="I54" s="85"/>
      <c r="J54" s="85"/>
      <c r="K54" s="85"/>
      <c r="L54" s="85"/>
      <c r="M54" s="85"/>
      <c r="N54" s="85"/>
      <c r="O54" s="85"/>
    </row>
    <row r="55" spans="2:15">
      <c r="B55" s="85"/>
      <c r="C55" s="85"/>
      <c r="D55" s="85"/>
      <c r="E55" s="85"/>
      <c r="F55" s="85"/>
      <c r="G55" s="85"/>
      <c r="H55" s="85"/>
      <c r="I55" s="85"/>
      <c r="J55" s="85"/>
      <c r="K55" s="85"/>
      <c r="L55" s="85"/>
      <c r="M55" s="85"/>
      <c r="N55" s="85"/>
      <c r="O55" s="85"/>
    </row>
    <row r="56" spans="2:15">
      <c r="B56" s="85"/>
      <c r="C56" s="85"/>
      <c r="D56" s="85"/>
      <c r="E56" s="85"/>
      <c r="F56" s="85"/>
      <c r="G56" s="85"/>
      <c r="H56" s="85"/>
      <c r="I56" s="85"/>
      <c r="J56" s="85"/>
      <c r="K56" s="85"/>
      <c r="L56" s="85"/>
      <c r="M56" s="85"/>
      <c r="N56" s="85"/>
      <c r="O56" s="85"/>
    </row>
    <row r="57" spans="2:15">
      <c r="B57" s="85"/>
      <c r="C57" s="85"/>
      <c r="D57" s="85"/>
      <c r="E57" s="85"/>
      <c r="F57" s="85"/>
      <c r="G57" s="85"/>
      <c r="H57" s="85"/>
      <c r="I57" s="85"/>
      <c r="J57" s="85"/>
      <c r="K57" s="85"/>
      <c r="L57" s="85"/>
      <c r="M57" s="85"/>
      <c r="N57" s="85"/>
      <c r="O57" s="85"/>
    </row>
    <row r="58" spans="2:15">
      <c r="B58" s="85"/>
      <c r="C58" s="85"/>
      <c r="D58" s="85"/>
      <c r="E58" s="85"/>
      <c r="F58" s="85"/>
      <c r="G58" s="85"/>
      <c r="H58" s="85"/>
      <c r="I58" s="85"/>
      <c r="J58" s="85"/>
      <c r="K58" s="85"/>
      <c r="L58" s="85"/>
      <c r="M58" s="85"/>
      <c r="N58" s="85"/>
      <c r="O58" s="85"/>
    </row>
    <row r="59" spans="2:15">
      <c r="B59" s="85"/>
      <c r="C59" s="85"/>
      <c r="D59" s="85"/>
      <c r="E59" s="85"/>
      <c r="F59" s="85"/>
      <c r="G59" s="85"/>
      <c r="H59" s="85"/>
      <c r="I59" s="85"/>
      <c r="J59" s="85"/>
      <c r="K59" s="85"/>
      <c r="L59" s="85"/>
      <c r="M59" s="85"/>
      <c r="N59" s="85"/>
      <c r="O59" s="85"/>
    </row>
    <row r="60" spans="2:15">
      <c r="B60" s="85"/>
      <c r="C60" s="85"/>
      <c r="D60" s="85"/>
      <c r="E60" s="85"/>
      <c r="F60" s="85"/>
      <c r="G60" s="85"/>
      <c r="H60" s="85"/>
      <c r="I60" s="85"/>
      <c r="J60" s="85"/>
      <c r="K60" s="85"/>
      <c r="L60" s="85"/>
      <c r="M60" s="85"/>
      <c r="N60" s="85"/>
      <c r="O60" s="85"/>
    </row>
    <row r="61" spans="2:15">
      <c r="B61" s="85"/>
      <c r="C61" s="85"/>
      <c r="D61" s="85"/>
      <c r="E61" s="85"/>
      <c r="F61" s="85"/>
      <c r="G61" s="85"/>
      <c r="H61" s="85"/>
      <c r="I61" s="85"/>
      <c r="J61" s="85"/>
      <c r="K61" s="85"/>
      <c r="L61" s="85"/>
      <c r="M61" s="85"/>
      <c r="N61" s="85"/>
      <c r="O61" s="85"/>
    </row>
    <row r="62" spans="2:15">
      <c r="B62" s="85"/>
      <c r="C62" s="85"/>
      <c r="D62" s="85"/>
      <c r="E62" s="85"/>
      <c r="F62" s="85"/>
      <c r="G62" s="85"/>
      <c r="H62" s="85"/>
      <c r="I62" s="85"/>
      <c r="J62" s="85"/>
      <c r="K62" s="85"/>
      <c r="L62" s="85"/>
      <c r="M62" s="85"/>
      <c r="N62" s="85"/>
      <c r="O62" s="85"/>
    </row>
    <row r="63" spans="2:15">
      <c r="B63" s="85"/>
      <c r="C63" s="85"/>
      <c r="D63" s="85"/>
      <c r="E63" s="85"/>
      <c r="F63" s="85"/>
      <c r="G63" s="85"/>
      <c r="H63" s="85"/>
      <c r="I63" s="85"/>
      <c r="J63" s="85"/>
      <c r="K63" s="85"/>
      <c r="L63" s="85"/>
      <c r="M63" s="85"/>
      <c r="N63" s="85"/>
      <c r="O63" s="85"/>
    </row>
    <row r="64" spans="2:15">
      <c r="B64" s="85"/>
      <c r="C64" s="85"/>
      <c r="D64" s="85"/>
      <c r="E64" s="85"/>
      <c r="F64" s="85"/>
      <c r="G64" s="85"/>
      <c r="H64" s="85"/>
      <c r="I64" s="85"/>
      <c r="J64" s="85"/>
      <c r="K64" s="85"/>
      <c r="L64" s="85"/>
      <c r="M64" s="85"/>
      <c r="N64" s="85"/>
      <c r="O64" s="85"/>
    </row>
    <row r="65" spans="2:15">
      <c r="B65" s="85"/>
      <c r="C65" s="85"/>
      <c r="D65" s="85"/>
      <c r="E65" s="85"/>
      <c r="F65" s="85"/>
      <c r="G65" s="85"/>
      <c r="H65" s="85"/>
      <c r="I65" s="85"/>
      <c r="J65" s="85"/>
      <c r="K65" s="85"/>
      <c r="L65" s="85"/>
      <c r="M65" s="85"/>
      <c r="N65" s="85"/>
      <c r="O65" s="85"/>
    </row>
  </sheetData>
  <mergeCells count="26">
    <mergeCell ref="F27:F28"/>
    <mergeCell ref="E26:E28"/>
    <mergeCell ref="E29:E32"/>
    <mergeCell ref="E20:E25"/>
    <mergeCell ref="F20:F21"/>
    <mergeCell ref="F22:F23"/>
    <mergeCell ref="F24:F25"/>
    <mergeCell ref="F29:F32"/>
    <mergeCell ref="B43:B45"/>
    <mergeCell ref="D43:D45"/>
    <mergeCell ref="E17:E19"/>
    <mergeCell ref="D17:D36"/>
    <mergeCell ref="B37:B42"/>
    <mergeCell ref="D37:D42"/>
    <mergeCell ref="E37:E38"/>
    <mergeCell ref="E39:E40"/>
    <mergeCell ref="E41:E42"/>
    <mergeCell ref="B13:B16"/>
    <mergeCell ref="D13:D16"/>
    <mergeCell ref="E14:E16"/>
    <mergeCell ref="B2:B4"/>
    <mergeCell ref="D2:D4"/>
    <mergeCell ref="B5:B11"/>
    <mergeCell ref="D5:D11"/>
    <mergeCell ref="E5:E7"/>
    <mergeCell ref="E8:E10"/>
  </mergeCell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7E419-8BB5-4555-9E06-51B94462F1CF}">
  <dimension ref="A1:O39"/>
  <sheetViews>
    <sheetView tabSelected="1" zoomScale="70" zoomScaleNormal="70" workbookViewId="0">
      <pane ySplit="1" topLeftCell="D2" activePane="bottomLeft" state="frozen"/>
      <selection pane="bottomLeft" sqref="A1:N1"/>
    </sheetView>
  </sheetViews>
  <sheetFormatPr defaultRowHeight="15"/>
  <cols>
    <col min="1" max="1" width="27.7109375" style="8" customWidth="1"/>
    <col min="2" max="2" width="26.5703125" style="8" customWidth="1"/>
    <col min="3" max="3" width="26.85546875" style="129" customWidth="1"/>
    <col min="4" max="4" width="36.5703125" style="8" customWidth="1"/>
    <col min="5" max="5" width="34" style="8" customWidth="1"/>
    <col min="6" max="6" width="42" style="8" customWidth="1"/>
    <col min="7" max="7" width="39.5703125" style="8" customWidth="1"/>
    <col min="8" max="8" width="75.85546875" style="8" customWidth="1"/>
    <col min="9" max="9" width="41.42578125" style="8" customWidth="1"/>
    <col min="10" max="10" width="29.140625" style="8" customWidth="1"/>
    <col min="11" max="11" width="11.85546875" style="8" customWidth="1"/>
    <col min="12" max="12" width="16.85546875" style="8" customWidth="1"/>
    <col min="13" max="13" width="17" style="137" customWidth="1"/>
    <col min="14" max="14" width="21.42578125" style="8" customWidth="1"/>
  </cols>
  <sheetData>
    <row r="1" spans="1:15" ht="55.5" customHeight="1">
      <c r="A1" s="138" t="s">
        <v>0</v>
      </c>
      <c r="B1" s="139" t="s">
        <v>1</v>
      </c>
      <c r="C1" s="139" t="s">
        <v>38</v>
      </c>
      <c r="D1" s="139" t="s">
        <v>3</v>
      </c>
      <c r="E1" s="139" t="s">
        <v>4</v>
      </c>
      <c r="F1" s="139" t="s">
        <v>5</v>
      </c>
      <c r="G1" s="139" t="s">
        <v>6</v>
      </c>
      <c r="H1" s="139" t="s">
        <v>7</v>
      </c>
      <c r="I1" s="139" t="s">
        <v>361</v>
      </c>
      <c r="J1" s="139" t="s">
        <v>362</v>
      </c>
      <c r="K1" s="139" t="s">
        <v>10</v>
      </c>
      <c r="L1" s="139" t="s">
        <v>11</v>
      </c>
      <c r="M1" s="140" t="s">
        <v>12</v>
      </c>
      <c r="N1" s="139" t="s">
        <v>13</v>
      </c>
    </row>
    <row r="2" spans="1:15" ht="96" customHeight="1">
      <c r="A2" s="125">
        <v>1</v>
      </c>
      <c r="B2" s="126" t="s">
        <v>41</v>
      </c>
      <c r="C2" s="132" t="s">
        <v>363</v>
      </c>
      <c r="D2" s="95" t="s">
        <v>566</v>
      </c>
      <c r="E2" s="71"/>
      <c r="F2" s="71"/>
      <c r="G2" s="74" t="s">
        <v>567</v>
      </c>
      <c r="H2" s="93" t="s">
        <v>568</v>
      </c>
      <c r="I2" s="74"/>
      <c r="J2" s="74"/>
      <c r="K2" s="74" t="s">
        <v>82</v>
      </c>
      <c r="L2" s="74"/>
      <c r="M2" s="133" t="s">
        <v>707</v>
      </c>
      <c r="N2" s="74"/>
    </row>
    <row r="3" spans="1:15" ht="86.25" customHeight="1">
      <c r="A3" s="125">
        <v>2</v>
      </c>
      <c r="B3" s="127" t="s">
        <v>41</v>
      </c>
      <c r="C3" s="141" t="s">
        <v>708</v>
      </c>
      <c r="D3" s="127" t="s">
        <v>709</v>
      </c>
      <c r="E3" s="127" t="s">
        <v>710</v>
      </c>
      <c r="F3" s="127" t="s">
        <v>711</v>
      </c>
      <c r="G3" s="127" t="s">
        <v>712</v>
      </c>
      <c r="H3" s="127" t="s">
        <v>713</v>
      </c>
      <c r="I3" s="127" t="s">
        <v>714</v>
      </c>
      <c r="J3" s="127" t="s">
        <v>715</v>
      </c>
      <c r="K3" s="74" t="s">
        <v>82</v>
      </c>
      <c r="L3" s="127"/>
      <c r="M3" s="134" t="s">
        <v>707</v>
      </c>
      <c r="N3" s="127" t="s">
        <v>716</v>
      </c>
    </row>
    <row r="4" spans="1:15" ht="90">
      <c r="A4" s="125">
        <v>3</v>
      </c>
      <c r="B4" s="127" t="s">
        <v>41</v>
      </c>
      <c r="C4" s="142"/>
      <c r="D4" s="127" t="s">
        <v>717</v>
      </c>
      <c r="E4" s="127" t="s">
        <v>710</v>
      </c>
      <c r="F4" s="127" t="s">
        <v>711</v>
      </c>
      <c r="G4" s="127" t="s">
        <v>718</v>
      </c>
      <c r="H4" s="127" t="s">
        <v>719</v>
      </c>
      <c r="I4" s="127" t="s">
        <v>720</v>
      </c>
      <c r="J4" s="127" t="s">
        <v>715</v>
      </c>
      <c r="K4" s="74" t="s">
        <v>82</v>
      </c>
      <c r="L4" s="127"/>
      <c r="M4" s="134" t="s">
        <v>707</v>
      </c>
      <c r="N4" s="127" t="s">
        <v>721</v>
      </c>
    </row>
    <row r="5" spans="1:15" ht="90">
      <c r="A5" s="125">
        <v>4</v>
      </c>
      <c r="B5" s="127" t="s">
        <v>41</v>
      </c>
      <c r="C5" s="142"/>
      <c r="D5" s="127" t="s">
        <v>717</v>
      </c>
      <c r="E5" s="127" t="s">
        <v>722</v>
      </c>
      <c r="F5" s="127" t="s">
        <v>711</v>
      </c>
      <c r="G5" s="127" t="s">
        <v>723</v>
      </c>
      <c r="H5" s="127" t="s">
        <v>724</v>
      </c>
      <c r="I5" s="127" t="s">
        <v>725</v>
      </c>
      <c r="J5" s="127" t="s">
        <v>715</v>
      </c>
      <c r="K5" s="74" t="s">
        <v>82</v>
      </c>
      <c r="L5" s="127"/>
      <c r="M5" s="134" t="s">
        <v>707</v>
      </c>
      <c r="N5" s="127" t="s">
        <v>726</v>
      </c>
    </row>
    <row r="6" spans="1:15" ht="105">
      <c r="A6" s="125">
        <v>5</v>
      </c>
      <c r="B6" s="127" t="s">
        <v>41</v>
      </c>
      <c r="C6" s="142"/>
      <c r="D6" s="130" t="s">
        <v>727</v>
      </c>
      <c r="E6" s="131" t="s">
        <v>722</v>
      </c>
      <c r="F6" s="131" t="s">
        <v>711</v>
      </c>
      <c r="G6" s="127" t="s">
        <v>728</v>
      </c>
      <c r="H6" s="127" t="s">
        <v>729</v>
      </c>
      <c r="I6" s="127" t="s">
        <v>714</v>
      </c>
      <c r="J6" s="127" t="s">
        <v>715</v>
      </c>
      <c r="K6" s="74" t="s">
        <v>82</v>
      </c>
      <c r="L6" s="127"/>
      <c r="M6" s="135" t="s">
        <v>730</v>
      </c>
      <c r="N6" s="127" t="s">
        <v>731</v>
      </c>
      <c r="O6" t="s">
        <v>732</v>
      </c>
    </row>
    <row r="7" spans="1:15" ht="105">
      <c r="A7" s="125">
        <v>6</v>
      </c>
      <c r="B7" s="127" t="s">
        <v>41</v>
      </c>
      <c r="C7" s="142"/>
      <c r="D7" s="130" t="s">
        <v>733</v>
      </c>
      <c r="E7" s="131" t="s">
        <v>722</v>
      </c>
      <c r="F7" s="131" t="s">
        <v>711</v>
      </c>
      <c r="G7" s="127" t="s">
        <v>734</v>
      </c>
      <c r="H7" s="127" t="s">
        <v>735</v>
      </c>
      <c r="I7" s="127" t="s">
        <v>714</v>
      </c>
      <c r="J7" s="127" t="s">
        <v>715</v>
      </c>
      <c r="K7" s="74" t="s">
        <v>82</v>
      </c>
      <c r="L7" s="127"/>
      <c r="M7" s="134" t="s">
        <v>707</v>
      </c>
      <c r="N7" s="127" t="s">
        <v>736</v>
      </c>
    </row>
    <row r="8" spans="1:15" ht="105">
      <c r="A8" s="125">
        <v>7</v>
      </c>
      <c r="B8" s="127" t="s">
        <v>41</v>
      </c>
      <c r="C8" s="142"/>
      <c r="D8" s="130" t="s">
        <v>737</v>
      </c>
      <c r="E8" s="131" t="s">
        <v>722</v>
      </c>
      <c r="F8" s="131" t="s">
        <v>711</v>
      </c>
      <c r="G8" s="127" t="s">
        <v>738</v>
      </c>
      <c r="H8" s="127" t="s">
        <v>739</v>
      </c>
      <c r="I8" s="127" t="s">
        <v>714</v>
      </c>
      <c r="J8" s="127" t="s">
        <v>715</v>
      </c>
      <c r="K8" s="74" t="s">
        <v>82</v>
      </c>
      <c r="L8" s="127"/>
      <c r="M8" s="135" t="s">
        <v>730</v>
      </c>
      <c r="N8" s="127" t="s">
        <v>740</v>
      </c>
      <c r="O8" t="s">
        <v>741</v>
      </c>
    </row>
    <row r="9" spans="1:15" ht="105">
      <c r="A9" s="125">
        <v>8</v>
      </c>
      <c r="B9" s="127" t="s">
        <v>41</v>
      </c>
      <c r="C9" s="142"/>
      <c r="D9" s="130" t="s">
        <v>742</v>
      </c>
      <c r="E9" s="131" t="s">
        <v>722</v>
      </c>
      <c r="F9" s="131" t="s">
        <v>711</v>
      </c>
      <c r="G9" s="127" t="s">
        <v>743</v>
      </c>
      <c r="H9" s="127" t="s">
        <v>744</v>
      </c>
      <c r="I9" s="127" t="s">
        <v>714</v>
      </c>
      <c r="J9" s="127" t="s">
        <v>715</v>
      </c>
      <c r="K9" s="74" t="s">
        <v>82</v>
      </c>
      <c r="L9" s="127"/>
      <c r="M9" s="135" t="s">
        <v>730</v>
      </c>
      <c r="N9" s="127" t="s">
        <v>745</v>
      </c>
      <c r="O9" t="s">
        <v>741</v>
      </c>
    </row>
    <row r="10" spans="1:15" ht="90">
      <c r="A10" s="125">
        <v>9</v>
      </c>
      <c r="B10" s="127" t="s">
        <v>41</v>
      </c>
      <c r="C10" s="142"/>
      <c r="D10" s="127" t="s">
        <v>717</v>
      </c>
      <c r="E10" s="131" t="s">
        <v>746</v>
      </c>
      <c r="F10" s="127" t="s">
        <v>711</v>
      </c>
      <c r="G10" s="127" t="s">
        <v>747</v>
      </c>
      <c r="H10" s="127" t="s">
        <v>748</v>
      </c>
      <c r="I10" s="127" t="s">
        <v>725</v>
      </c>
      <c r="J10" s="127" t="s">
        <v>715</v>
      </c>
      <c r="K10" s="74" t="s">
        <v>82</v>
      </c>
      <c r="L10" s="127"/>
      <c r="M10" s="134" t="s">
        <v>707</v>
      </c>
      <c r="N10" s="127" t="s">
        <v>749</v>
      </c>
    </row>
    <row r="11" spans="1:15" ht="105">
      <c r="A11" s="125">
        <v>10</v>
      </c>
      <c r="B11" s="127" t="s">
        <v>41</v>
      </c>
      <c r="C11" s="142"/>
      <c r="D11" s="130" t="s">
        <v>733</v>
      </c>
      <c r="E11" s="131" t="s">
        <v>746</v>
      </c>
      <c r="F11" s="127" t="s">
        <v>711</v>
      </c>
      <c r="G11" s="127" t="s">
        <v>750</v>
      </c>
      <c r="H11" s="127" t="s">
        <v>751</v>
      </c>
      <c r="I11" s="127" t="s">
        <v>714</v>
      </c>
      <c r="J11" s="127" t="s">
        <v>715</v>
      </c>
      <c r="K11" s="74" t="s">
        <v>82</v>
      </c>
      <c r="L11" s="127"/>
      <c r="M11" s="134" t="s">
        <v>707</v>
      </c>
      <c r="N11" s="127" t="s">
        <v>752</v>
      </c>
    </row>
    <row r="12" spans="1:15" ht="90">
      <c r="A12" s="125">
        <v>11</v>
      </c>
      <c r="B12" s="127" t="s">
        <v>41</v>
      </c>
      <c r="C12" s="142"/>
      <c r="D12" s="127" t="s">
        <v>717</v>
      </c>
      <c r="E12" s="131" t="s">
        <v>753</v>
      </c>
      <c r="F12" s="127" t="s">
        <v>711</v>
      </c>
      <c r="G12" s="127" t="s">
        <v>754</v>
      </c>
      <c r="H12" s="127" t="s">
        <v>755</v>
      </c>
      <c r="I12" s="127" t="s">
        <v>725</v>
      </c>
      <c r="J12" s="127" t="s">
        <v>715</v>
      </c>
      <c r="K12" s="74" t="s">
        <v>82</v>
      </c>
      <c r="L12" s="127"/>
      <c r="M12" s="134" t="s">
        <v>707</v>
      </c>
      <c r="N12" s="127" t="s">
        <v>756</v>
      </c>
    </row>
    <row r="13" spans="1:15" ht="105">
      <c r="A13" s="125">
        <v>12</v>
      </c>
      <c r="B13" s="127" t="s">
        <v>41</v>
      </c>
      <c r="C13" s="142"/>
      <c r="D13" s="130" t="s">
        <v>733</v>
      </c>
      <c r="E13" s="131" t="s">
        <v>753</v>
      </c>
      <c r="F13" s="127" t="s">
        <v>711</v>
      </c>
      <c r="G13" s="127" t="s">
        <v>757</v>
      </c>
      <c r="H13" s="127" t="s">
        <v>758</v>
      </c>
      <c r="I13" s="127" t="s">
        <v>714</v>
      </c>
      <c r="J13" s="127" t="s">
        <v>715</v>
      </c>
      <c r="K13" s="74" t="s">
        <v>82</v>
      </c>
      <c r="L13" s="127"/>
      <c r="M13" s="134" t="s">
        <v>707</v>
      </c>
      <c r="N13" s="127" t="s">
        <v>759</v>
      </c>
    </row>
    <row r="14" spans="1:15" ht="75">
      <c r="A14" s="125">
        <v>13</v>
      </c>
      <c r="B14" s="127" t="s">
        <v>41</v>
      </c>
      <c r="C14" s="142"/>
      <c r="D14" s="127" t="s">
        <v>717</v>
      </c>
      <c r="E14" s="131" t="s">
        <v>760</v>
      </c>
      <c r="F14" s="127" t="s">
        <v>711</v>
      </c>
      <c r="G14" s="127" t="s">
        <v>761</v>
      </c>
      <c r="H14" s="127" t="s">
        <v>748</v>
      </c>
      <c r="I14" s="127" t="s">
        <v>762</v>
      </c>
      <c r="J14" s="127" t="s">
        <v>763</v>
      </c>
      <c r="K14" s="74" t="s">
        <v>82</v>
      </c>
      <c r="L14" s="127"/>
      <c r="M14" s="135" t="s">
        <v>730</v>
      </c>
      <c r="N14" s="127" t="s">
        <v>764</v>
      </c>
      <c r="O14" t="s">
        <v>765</v>
      </c>
    </row>
    <row r="15" spans="1:15" ht="105">
      <c r="A15" s="125">
        <v>14</v>
      </c>
      <c r="B15" s="127" t="s">
        <v>41</v>
      </c>
      <c r="C15" s="143"/>
      <c r="D15" s="130" t="s">
        <v>733</v>
      </c>
      <c r="E15" s="131" t="s">
        <v>760</v>
      </c>
      <c r="F15" s="127" t="s">
        <v>711</v>
      </c>
      <c r="G15" s="127" t="s">
        <v>766</v>
      </c>
      <c r="H15" s="127" t="s">
        <v>767</v>
      </c>
      <c r="I15" s="127" t="s">
        <v>762</v>
      </c>
      <c r="J15" s="127" t="s">
        <v>763</v>
      </c>
      <c r="K15" s="74" t="s">
        <v>82</v>
      </c>
      <c r="L15" s="127"/>
      <c r="M15" s="135" t="s">
        <v>730</v>
      </c>
      <c r="N15" s="127" t="s">
        <v>768</v>
      </c>
      <c r="O15" t="s">
        <v>765</v>
      </c>
    </row>
    <row r="16" spans="1:15" ht="108.75" customHeight="1">
      <c r="A16" s="125">
        <v>15</v>
      </c>
      <c r="B16" s="127" t="s">
        <v>41</v>
      </c>
      <c r="C16" s="144" t="s">
        <v>769</v>
      </c>
      <c r="D16" s="127" t="s">
        <v>717</v>
      </c>
      <c r="E16" s="127" t="s">
        <v>722</v>
      </c>
      <c r="F16" s="127" t="s">
        <v>770</v>
      </c>
      <c r="G16" s="127" t="s">
        <v>771</v>
      </c>
      <c r="H16" s="127" t="s">
        <v>772</v>
      </c>
      <c r="I16" s="127" t="s">
        <v>773</v>
      </c>
      <c r="J16" s="127" t="s">
        <v>715</v>
      </c>
      <c r="K16" s="74" t="s">
        <v>82</v>
      </c>
      <c r="L16" s="127"/>
      <c r="M16" s="134" t="s">
        <v>707</v>
      </c>
      <c r="N16" s="127" t="s">
        <v>774</v>
      </c>
    </row>
    <row r="17" spans="1:15" ht="105">
      <c r="A17" s="125">
        <v>16</v>
      </c>
      <c r="B17" s="127" t="s">
        <v>41</v>
      </c>
      <c r="C17" s="145"/>
      <c r="D17" s="127" t="s">
        <v>717</v>
      </c>
      <c r="E17" s="127" t="s">
        <v>722</v>
      </c>
      <c r="F17" s="127" t="s">
        <v>775</v>
      </c>
      <c r="G17" s="127" t="s">
        <v>776</v>
      </c>
      <c r="H17" s="127" t="s">
        <v>777</v>
      </c>
      <c r="I17" s="127" t="s">
        <v>778</v>
      </c>
      <c r="J17" s="127" t="s">
        <v>779</v>
      </c>
      <c r="K17" s="74" t="s">
        <v>82</v>
      </c>
      <c r="L17" s="127"/>
      <c r="M17" s="134" t="s">
        <v>707</v>
      </c>
      <c r="N17" s="127" t="s">
        <v>780</v>
      </c>
    </row>
    <row r="18" spans="1:15" ht="105">
      <c r="A18" s="125">
        <v>17</v>
      </c>
      <c r="B18" s="127" t="s">
        <v>41</v>
      </c>
      <c r="C18" s="145"/>
      <c r="D18" s="127" t="s">
        <v>709</v>
      </c>
      <c r="E18" s="127" t="s">
        <v>722</v>
      </c>
      <c r="F18" s="127" t="s">
        <v>775</v>
      </c>
      <c r="G18" s="127" t="s">
        <v>781</v>
      </c>
      <c r="H18" s="127" t="s">
        <v>782</v>
      </c>
      <c r="I18" s="127" t="s">
        <v>783</v>
      </c>
      <c r="J18" s="127" t="s">
        <v>779</v>
      </c>
      <c r="K18" s="74" t="s">
        <v>82</v>
      </c>
      <c r="L18" s="127"/>
      <c r="M18" s="134" t="s">
        <v>707</v>
      </c>
      <c r="N18" s="127" t="s">
        <v>784</v>
      </c>
    </row>
    <row r="19" spans="1:15" ht="105">
      <c r="A19" s="125">
        <v>18</v>
      </c>
      <c r="B19" s="127" t="s">
        <v>41</v>
      </c>
      <c r="C19" s="145"/>
      <c r="D19" s="127" t="s">
        <v>733</v>
      </c>
      <c r="E19" s="127" t="s">
        <v>722</v>
      </c>
      <c r="F19" s="127" t="s">
        <v>775</v>
      </c>
      <c r="G19" s="127" t="s">
        <v>785</v>
      </c>
      <c r="H19" s="127" t="s">
        <v>786</v>
      </c>
      <c r="I19" s="127" t="s">
        <v>783</v>
      </c>
      <c r="J19" s="127" t="s">
        <v>779</v>
      </c>
      <c r="K19" s="74" t="s">
        <v>82</v>
      </c>
      <c r="L19" s="127"/>
      <c r="M19" s="134" t="s">
        <v>707</v>
      </c>
      <c r="N19" s="127" t="s">
        <v>787</v>
      </c>
    </row>
    <row r="20" spans="1:15" ht="105">
      <c r="A20" s="125">
        <v>19</v>
      </c>
      <c r="B20" s="127" t="s">
        <v>41</v>
      </c>
      <c r="C20" s="145"/>
      <c r="D20" s="127" t="s">
        <v>733</v>
      </c>
      <c r="E20" s="127" t="s">
        <v>722</v>
      </c>
      <c r="F20" s="127" t="s">
        <v>770</v>
      </c>
      <c r="G20" s="127" t="s">
        <v>788</v>
      </c>
      <c r="H20" s="127" t="s">
        <v>789</v>
      </c>
      <c r="I20" s="127" t="s">
        <v>790</v>
      </c>
      <c r="J20" s="127" t="s">
        <v>779</v>
      </c>
      <c r="K20" s="74" t="s">
        <v>82</v>
      </c>
      <c r="L20" s="127"/>
      <c r="M20" s="134" t="s">
        <v>707</v>
      </c>
      <c r="N20" s="127" t="s">
        <v>791</v>
      </c>
    </row>
    <row r="21" spans="1:15" ht="105">
      <c r="A21" s="125">
        <v>20</v>
      </c>
      <c r="B21" s="127" t="s">
        <v>41</v>
      </c>
      <c r="C21" s="145"/>
      <c r="D21" s="127" t="s">
        <v>717</v>
      </c>
      <c r="E21" s="131" t="s">
        <v>746</v>
      </c>
      <c r="F21" s="127" t="s">
        <v>711</v>
      </c>
      <c r="G21" s="127" t="s">
        <v>792</v>
      </c>
      <c r="H21" s="127" t="s">
        <v>793</v>
      </c>
      <c r="I21" s="127" t="s">
        <v>773</v>
      </c>
      <c r="J21" s="127" t="s">
        <v>779</v>
      </c>
      <c r="K21" s="74" t="s">
        <v>82</v>
      </c>
      <c r="L21" s="127"/>
      <c r="M21" s="134" t="s">
        <v>707</v>
      </c>
      <c r="N21" s="127" t="s">
        <v>794</v>
      </c>
    </row>
    <row r="22" spans="1:15" ht="105">
      <c r="A22" s="125">
        <v>21</v>
      </c>
      <c r="B22" s="127" t="s">
        <v>41</v>
      </c>
      <c r="C22" s="145"/>
      <c r="D22" s="127" t="s">
        <v>717</v>
      </c>
      <c r="E22" s="131" t="s">
        <v>746</v>
      </c>
      <c r="F22" s="127" t="s">
        <v>711</v>
      </c>
      <c r="G22" s="127" t="s">
        <v>795</v>
      </c>
      <c r="H22" s="127" t="s">
        <v>796</v>
      </c>
      <c r="I22" s="127" t="s">
        <v>778</v>
      </c>
      <c r="J22" s="127" t="s">
        <v>779</v>
      </c>
      <c r="K22" s="74" t="s">
        <v>82</v>
      </c>
      <c r="L22" s="127"/>
      <c r="M22" s="134" t="s">
        <v>707</v>
      </c>
      <c r="N22" s="127" t="s">
        <v>797</v>
      </c>
    </row>
    <row r="23" spans="1:15" ht="105">
      <c r="A23" s="125">
        <v>22</v>
      </c>
      <c r="B23" s="127" t="s">
        <v>41</v>
      </c>
      <c r="C23" s="145"/>
      <c r="D23" s="130" t="s">
        <v>733</v>
      </c>
      <c r="E23" s="131" t="s">
        <v>746</v>
      </c>
      <c r="F23" s="127" t="s">
        <v>711</v>
      </c>
      <c r="G23" s="127" t="s">
        <v>798</v>
      </c>
      <c r="H23" s="127" t="s">
        <v>799</v>
      </c>
      <c r="I23" s="127" t="s">
        <v>790</v>
      </c>
      <c r="J23" s="127" t="s">
        <v>779</v>
      </c>
      <c r="K23" s="74" t="s">
        <v>82</v>
      </c>
      <c r="L23" s="127"/>
      <c r="M23" s="134" t="s">
        <v>707</v>
      </c>
      <c r="N23" s="127" t="s">
        <v>800</v>
      </c>
    </row>
    <row r="24" spans="1:15" ht="105">
      <c r="A24" s="125">
        <v>23</v>
      </c>
      <c r="B24" s="127" t="s">
        <v>41</v>
      </c>
      <c r="C24" s="145"/>
      <c r="D24" s="130" t="s">
        <v>733</v>
      </c>
      <c r="E24" s="131" t="s">
        <v>746</v>
      </c>
      <c r="F24" s="127" t="s">
        <v>711</v>
      </c>
      <c r="G24" s="127" t="s">
        <v>801</v>
      </c>
      <c r="H24" s="127" t="s">
        <v>802</v>
      </c>
      <c r="I24" s="127" t="s">
        <v>783</v>
      </c>
      <c r="J24" s="127" t="s">
        <v>779</v>
      </c>
      <c r="K24" s="74" t="s">
        <v>82</v>
      </c>
      <c r="L24" s="127"/>
      <c r="M24" s="134" t="s">
        <v>707</v>
      </c>
      <c r="N24" s="127" t="s">
        <v>803</v>
      </c>
    </row>
    <row r="25" spans="1:15" ht="105">
      <c r="A25" s="125">
        <v>24</v>
      </c>
      <c r="B25" s="127" t="s">
        <v>41</v>
      </c>
      <c r="C25" s="145"/>
      <c r="D25" s="127" t="s">
        <v>717</v>
      </c>
      <c r="E25" s="131" t="s">
        <v>753</v>
      </c>
      <c r="F25" s="127" t="s">
        <v>711</v>
      </c>
      <c r="G25" s="127" t="s">
        <v>804</v>
      </c>
      <c r="H25" s="127" t="s">
        <v>805</v>
      </c>
      <c r="I25" s="127" t="s">
        <v>778</v>
      </c>
      <c r="J25" s="127" t="s">
        <v>779</v>
      </c>
      <c r="K25" s="74" t="s">
        <v>82</v>
      </c>
      <c r="L25" s="127"/>
      <c r="M25" s="134" t="s">
        <v>707</v>
      </c>
      <c r="N25" s="127" t="s">
        <v>806</v>
      </c>
    </row>
    <row r="26" spans="1:15" ht="105">
      <c r="A26" s="125">
        <v>25</v>
      </c>
      <c r="B26" s="127" t="s">
        <v>41</v>
      </c>
      <c r="C26" s="145"/>
      <c r="D26" s="127" t="s">
        <v>717</v>
      </c>
      <c r="E26" s="131" t="s">
        <v>753</v>
      </c>
      <c r="F26" s="127" t="s">
        <v>711</v>
      </c>
      <c r="G26" s="127" t="s">
        <v>807</v>
      </c>
      <c r="H26" s="127" t="s">
        <v>808</v>
      </c>
      <c r="I26" s="127" t="s">
        <v>773</v>
      </c>
      <c r="J26" s="127" t="s">
        <v>779</v>
      </c>
      <c r="K26" s="74" t="s">
        <v>82</v>
      </c>
      <c r="L26" s="127"/>
      <c r="M26" s="134" t="s">
        <v>707</v>
      </c>
      <c r="N26" s="127" t="s">
        <v>809</v>
      </c>
    </row>
    <row r="27" spans="1:15" ht="105">
      <c r="A27" s="125">
        <v>26</v>
      </c>
      <c r="B27" s="127" t="s">
        <v>41</v>
      </c>
      <c r="C27" s="145"/>
      <c r="D27" s="130" t="s">
        <v>733</v>
      </c>
      <c r="E27" s="131" t="s">
        <v>753</v>
      </c>
      <c r="F27" s="127" t="s">
        <v>711</v>
      </c>
      <c r="G27" s="127" t="s">
        <v>810</v>
      </c>
      <c r="H27" s="127" t="s">
        <v>811</v>
      </c>
      <c r="I27" s="127" t="s">
        <v>790</v>
      </c>
      <c r="J27" s="127" t="s">
        <v>779</v>
      </c>
      <c r="K27" s="74" t="s">
        <v>82</v>
      </c>
      <c r="L27" s="127"/>
      <c r="M27" s="134" t="s">
        <v>707</v>
      </c>
      <c r="N27" s="127" t="s">
        <v>812</v>
      </c>
    </row>
    <row r="28" spans="1:15" ht="105">
      <c r="A28" s="125">
        <v>27</v>
      </c>
      <c r="B28" s="127" t="s">
        <v>41</v>
      </c>
      <c r="C28" s="145"/>
      <c r="D28" s="130" t="s">
        <v>733</v>
      </c>
      <c r="E28" s="131" t="s">
        <v>753</v>
      </c>
      <c r="F28" s="127" t="s">
        <v>711</v>
      </c>
      <c r="G28" s="127" t="s">
        <v>813</v>
      </c>
      <c r="H28" s="127" t="s">
        <v>814</v>
      </c>
      <c r="I28" s="127" t="s">
        <v>783</v>
      </c>
      <c r="J28" s="127" t="s">
        <v>779</v>
      </c>
      <c r="K28" s="74" t="s">
        <v>82</v>
      </c>
      <c r="L28" s="127"/>
      <c r="M28" s="134" t="s">
        <v>707</v>
      </c>
      <c r="N28" s="127" t="s">
        <v>815</v>
      </c>
    </row>
    <row r="29" spans="1:15" ht="90">
      <c r="A29" s="125">
        <v>28</v>
      </c>
      <c r="B29" s="127" t="s">
        <v>41</v>
      </c>
      <c r="C29" s="145"/>
      <c r="D29" s="127" t="s">
        <v>717</v>
      </c>
      <c r="E29" s="131" t="s">
        <v>760</v>
      </c>
      <c r="F29" s="127" t="s">
        <v>711</v>
      </c>
      <c r="G29" s="127" t="s">
        <v>816</v>
      </c>
      <c r="H29" s="127" t="s">
        <v>817</v>
      </c>
      <c r="I29" s="127" t="s">
        <v>818</v>
      </c>
      <c r="J29" s="127" t="s">
        <v>779</v>
      </c>
      <c r="K29" s="74" t="s">
        <v>82</v>
      </c>
      <c r="L29" s="127"/>
      <c r="M29" s="135" t="s">
        <v>730</v>
      </c>
      <c r="N29" s="127" t="s">
        <v>819</v>
      </c>
      <c r="O29" t="s">
        <v>765</v>
      </c>
    </row>
    <row r="30" spans="1:15" ht="90">
      <c r="A30" s="125">
        <v>29</v>
      </c>
      <c r="B30" s="127" t="s">
        <v>41</v>
      </c>
      <c r="C30" s="145"/>
      <c r="D30" s="127" t="s">
        <v>717</v>
      </c>
      <c r="E30" s="131" t="s">
        <v>760</v>
      </c>
      <c r="F30" s="127" t="s">
        <v>711</v>
      </c>
      <c r="G30" s="127" t="s">
        <v>820</v>
      </c>
      <c r="H30" s="127" t="s">
        <v>821</v>
      </c>
      <c r="I30" s="127" t="s">
        <v>818</v>
      </c>
      <c r="J30" s="127" t="s">
        <v>779</v>
      </c>
      <c r="K30" s="74" t="s">
        <v>82</v>
      </c>
      <c r="L30" s="127"/>
      <c r="M30" s="135" t="s">
        <v>730</v>
      </c>
      <c r="N30" s="127" t="s">
        <v>822</v>
      </c>
      <c r="O30" t="s">
        <v>765</v>
      </c>
    </row>
    <row r="31" spans="1:15" ht="105">
      <c r="A31" s="125">
        <v>30</v>
      </c>
      <c r="B31" s="127" t="s">
        <v>41</v>
      </c>
      <c r="C31" s="145"/>
      <c r="D31" s="130" t="s">
        <v>733</v>
      </c>
      <c r="E31" s="131" t="s">
        <v>760</v>
      </c>
      <c r="F31" s="127" t="s">
        <v>711</v>
      </c>
      <c r="G31" s="127" t="s">
        <v>823</v>
      </c>
      <c r="H31" s="127" t="s">
        <v>824</v>
      </c>
      <c r="I31" s="127" t="s">
        <v>818</v>
      </c>
      <c r="J31" s="127" t="s">
        <v>779</v>
      </c>
      <c r="K31" s="74" t="s">
        <v>82</v>
      </c>
      <c r="L31" s="127"/>
      <c r="M31" s="135" t="s">
        <v>730</v>
      </c>
      <c r="N31" s="127" t="s">
        <v>825</v>
      </c>
      <c r="O31" t="s">
        <v>765</v>
      </c>
    </row>
    <row r="32" spans="1:15" ht="105">
      <c r="A32" s="125">
        <v>31</v>
      </c>
      <c r="B32" s="127" t="s">
        <v>41</v>
      </c>
      <c r="C32" s="146"/>
      <c r="D32" s="130" t="s">
        <v>733</v>
      </c>
      <c r="E32" s="131" t="s">
        <v>760</v>
      </c>
      <c r="F32" s="127" t="s">
        <v>711</v>
      </c>
      <c r="G32" s="127" t="s">
        <v>826</v>
      </c>
      <c r="H32" s="127" t="s">
        <v>827</v>
      </c>
      <c r="I32" s="127" t="s">
        <v>818</v>
      </c>
      <c r="J32" s="127" t="s">
        <v>779</v>
      </c>
      <c r="K32" s="74" t="s">
        <v>82</v>
      </c>
      <c r="L32" s="127"/>
      <c r="M32" s="135" t="s">
        <v>730</v>
      </c>
      <c r="N32" s="127" t="s">
        <v>828</v>
      </c>
      <c r="O32" t="s">
        <v>765</v>
      </c>
    </row>
    <row r="33" spans="1:15" ht="75">
      <c r="A33" s="125">
        <v>32</v>
      </c>
      <c r="B33" s="127" t="s">
        <v>41</v>
      </c>
      <c r="C33" s="147" t="s">
        <v>829</v>
      </c>
      <c r="D33" s="130" t="s">
        <v>733</v>
      </c>
      <c r="E33" s="127" t="s">
        <v>830</v>
      </c>
      <c r="F33" s="127" t="s">
        <v>711</v>
      </c>
      <c r="G33" s="127" t="s">
        <v>831</v>
      </c>
      <c r="H33" s="127" t="s">
        <v>832</v>
      </c>
      <c r="I33" s="127" t="s">
        <v>833</v>
      </c>
      <c r="J33" s="127" t="s">
        <v>834</v>
      </c>
      <c r="K33" s="74" t="s">
        <v>82</v>
      </c>
      <c r="L33" s="127"/>
      <c r="M33" s="134" t="s">
        <v>707</v>
      </c>
      <c r="N33" s="127" t="s">
        <v>262</v>
      </c>
    </row>
    <row r="34" spans="1:15" ht="75">
      <c r="A34" s="125">
        <v>33</v>
      </c>
      <c r="B34" s="127" t="s">
        <v>41</v>
      </c>
      <c r="C34" s="148"/>
      <c r="D34" s="130" t="s">
        <v>733</v>
      </c>
      <c r="E34" s="127" t="s">
        <v>835</v>
      </c>
      <c r="F34" s="127" t="s">
        <v>711</v>
      </c>
      <c r="G34" s="127" t="s">
        <v>836</v>
      </c>
      <c r="H34" s="127" t="s">
        <v>837</v>
      </c>
      <c r="I34" s="127" t="s">
        <v>833</v>
      </c>
      <c r="J34" s="127" t="s">
        <v>834</v>
      </c>
      <c r="K34" s="74" t="s">
        <v>82</v>
      </c>
      <c r="L34" s="127"/>
      <c r="M34" s="134" t="s">
        <v>707</v>
      </c>
      <c r="N34" s="127" t="s">
        <v>838</v>
      </c>
    </row>
    <row r="35" spans="1:15" ht="75">
      <c r="A35" s="125">
        <v>34</v>
      </c>
      <c r="B35" s="127" t="s">
        <v>41</v>
      </c>
      <c r="C35" s="149"/>
      <c r="D35" s="130" t="s">
        <v>733</v>
      </c>
      <c r="E35" s="127" t="s">
        <v>839</v>
      </c>
      <c r="F35" s="127" t="s">
        <v>711</v>
      </c>
      <c r="G35" s="127" t="s">
        <v>840</v>
      </c>
      <c r="H35" s="127" t="s">
        <v>841</v>
      </c>
      <c r="I35" s="127" t="s">
        <v>842</v>
      </c>
      <c r="J35" s="127" t="s">
        <v>834</v>
      </c>
      <c r="K35" s="74" t="s">
        <v>82</v>
      </c>
      <c r="L35" s="127"/>
      <c r="M35" s="135" t="s">
        <v>730</v>
      </c>
      <c r="N35" s="127" t="s">
        <v>276</v>
      </c>
      <c r="O35" t="s">
        <v>765</v>
      </c>
    </row>
    <row r="36" spans="1:15">
      <c r="A36" s="125"/>
      <c r="B36" s="127"/>
      <c r="C36" s="128"/>
      <c r="D36" s="127"/>
      <c r="E36" s="127"/>
      <c r="F36" s="127"/>
      <c r="G36" s="127"/>
      <c r="H36" s="127"/>
      <c r="I36" s="127"/>
      <c r="J36" s="127"/>
      <c r="K36" s="127"/>
      <c r="L36" s="127" t="s">
        <v>730</v>
      </c>
      <c r="M36" s="136">
        <f>COUNTIF(M2:M35, "FAIL")</f>
        <v>10</v>
      </c>
      <c r="N36" s="127">
        <f>M36/$M$38*100</f>
        <v>29.411764705882355</v>
      </c>
    </row>
    <row r="37" spans="1:15">
      <c r="A37" s="125"/>
      <c r="B37" s="127"/>
      <c r="C37" s="128"/>
      <c r="D37" s="127"/>
      <c r="E37" s="127"/>
      <c r="F37" s="127"/>
      <c r="G37" s="127"/>
      <c r="H37" s="127"/>
      <c r="I37" s="127"/>
      <c r="J37" s="127"/>
      <c r="K37" s="127"/>
      <c r="L37" s="127" t="s">
        <v>707</v>
      </c>
      <c r="M37" s="136">
        <f>COUNTIF(M2:M36, "PASS")</f>
        <v>24</v>
      </c>
      <c r="N37" s="127">
        <f>M37/$M$38*100</f>
        <v>70.588235294117652</v>
      </c>
    </row>
    <row r="38" spans="1:15">
      <c r="A38" s="125"/>
      <c r="B38" s="127"/>
      <c r="C38" s="128"/>
      <c r="D38" s="127"/>
      <c r="E38" s="127"/>
      <c r="F38" s="127"/>
      <c r="G38" s="127"/>
      <c r="H38" s="127"/>
      <c r="I38" s="127"/>
      <c r="J38" s="127"/>
      <c r="K38" s="127"/>
      <c r="L38" s="127" t="s">
        <v>843</v>
      </c>
      <c r="M38" s="136">
        <v>34</v>
      </c>
      <c r="N38" s="127"/>
    </row>
    <row r="39" spans="1:15">
      <c r="A39" s="125"/>
      <c r="B39" s="127"/>
      <c r="C39" s="128"/>
      <c r="D39" s="127"/>
      <c r="E39" s="127"/>
      <c r="F39" s="127"/>
      <c r="G39" s="127"/>
      <c r="H39" s="127"/>
      <c r="I39" s="127"/>
      <c r="J39" s="127"/>
      <c r="K39" s="127"/>
      <c r="L39" s="127" t="s">
        <v>844</v>
      </c>
      <c r="M39" s="136">
        <f>M38-M37-M36</f>
        <v>0</v>
      </c>
      <c r="N39" s="127">
        <f>M39/$M$38*100</f>
        <v>0</v>
      </c>
    </row>
  </sheetData>
  <mergeCells count="3">
    <mergeCell ref="C3:C15"/>
    <mergeCell ref="C16:C32"/>
    <mergeCell ref="C33:C3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6882E-0E58-483A-BAFF-11EE4E6A21CE}">
  <dimension ref="A1:C60"/>
  <sheetViews>
    <sheetView topLeftCell="B1" workbookViewId="0">
      <selection activeCell="F33" sqref="F33"/>
    </sheetView>
  </sheetViews>
  <sheetFormatPr defaultRowHeight="15"/>
  <cols>
    <col min="2" max="2" width="119" customWidth="1"/>
  </cols>
  <sheetData>
    <row r="1" spans="1:3">
      <c r="A1" s="2" t="s">
        <v>28</v>
      </c>
      <c r="B1" s="3" t="s">
        <v>29</v>
      </c>
      <c r="C1" s="3" t="s">
        <v>30</v>
      </c>
    </row>
    <row r="2" spans="1:3">
      <c r="A2" s="9" t="s">
        <v>845</v>
      </c>
      <c r="B2" s="9" t="s">
        <v>846</v>
      </c>
      <c r="C2" s="9" t="s">
        <v>847</v>
      </c>
    </row>
    <row r="3" spans="1:3">
      <c r="A3" s="9" t="s">
        <v>848</v>
      </c>
      <c r="B3" s="9" t="s">
        <v>849</v>
      </c>
      <c r="C3" s="9" t="s">
        <v>847</v>
      </c>
    </row>
    <row r="4" spans="1:3">
      <c r="A4" s="9" t="s">
        <v>850</v>
      </c>
      <c r="B4" s="9" t="s">
        <v>851</v>
      </c>
      <c r="C4" s="9" t="s">
        <v>847</v>
      </c>
    </row>
    <row r="5" spans="1:3">
      <c r="A5" s="9" t="s">
        <v>852</v>
      </c>
      <c r="B5" s="9" t="s">
        <v>853</v>
      </c>
      <c r="C5" s="9" t="s">
        <v>847</v>
      </c>
    </row>
    <row r="6" spans="1:3">
      <c r="A6" s="9" t="s">
        <v>854</v>
      </c>
      <c r="B6" s="9" t="s">
        <v>855</v>
      </c>
      <c r="C6" s="9" t="s">
        <v>847</v>
      </c>
    </row>
    <row r="7" spans="1:3">
      <c r="A7" s="9" t="s">
        <v>856</v>
      </c>
      <c r="B7" s="9" t="s">
        <v>857</v>
      </c>
      <c r="C7" s="9" t="s">
        <v>847</v>
      </c>
    </row>
    <row r="8" spans="1:3">
      <c r="A8" s="9" t="s">
        <v>858</v>
      </c>
      <c r="B8" s="9" t="s">
        <v>859</v>
      </c>
      <c r="C8" s="9" t="s">
        <v>847</v>
      </c>
    </row>
    <row r="9" spans="1:3">
      <c r="A9" s="9" t="s">
        <v>860</v>
      </c>
      <c r="B9" s="9" t="s">
        <v>861</v>
      </c>
      <c r="C9" s="9" t="s">
        <v>847</v>
      </c>
    </row>
    <row r="10" spans="1:3">
      <c r="A10" s="9" t="s">
        <v>862</v>
      </c>
      <c r="B10" s="9" t="s">
        <v>863</v>
      </c>
      <c r="C10" s="9" t="s">
        <v>847</v>
      </c>
    </row>
    <row r="11" spans="1:3">
      <c r="A11" s="9" t="s">
        <v>864</v>
      </c>
      <c r="B11" s="9" t="s">
        <v>865</v>
      </c>
      <c r="C11" s="9" t="s">
        <v>847</v>
      </c>
    </row>
    <row r="12" spans="1:3">
      <c r="A12" s="9" t="s">
        <v>866</v>
      </c>
      <c r="B12" s="9" t="s">
        <v>867</v>
      </c>
      <c r="C12" s="9" t="s">
        <v>847</v>
      </c>
    </row>
    <row r="13" spans="1:3">
      <c r="A13" s="9" t="s">
        <v>868</v>
      </c>
      <c r="B13" s="9" t="s">
        <v>869</v>
      </c>
      <c r="C13" s="9" t="s">
        <v>847</v>
      </c>
    </row>
    <row r="14" spans="1:3">
      <c r="A14" s="9" t="s">
        <v>870</v>
      </c>
      <c r="B14" s="9" t="s">
        <v>871</v>
      </c>
      <c r="C14" s="9" t="s">
        <v>847</v>
      </c>
    </row>
    <row r="15" spans="1:3">
      <c r="A15" s="9" t="s">
        <v>872</v>
      </c>
      <c r="B15" s="9" t="s">
        <v>873</v>
      </c>
      <c r="C15" s="9" t="s">
        <v>847</v>
      </c>
    </row>
    <row r="16" spans="1:3">
      <c r="A16" s="9" t="s">
        <v>874</v>
      </c>
      <c r="B16" s="9" t="s">
        <v>875</v>
      </c>
      <c r="C16" s="9" t="s">
        <v>847</v>
      </c>
    </row>
    <row r="17" spans="1:3">
      <c r="A17" s="9" t="s">
        <v>876</v>
      </c>
      <c r="B17" s="9" t="s">
        <v>877</v>
      </c>
      <c r="C17" s="9" t="s">
        <v>847</v>
      </c>
    </row>
    <row r="18" spans="1:3">
      <c r="A18" s="9" t="s">
        <v>878</v>
      </c>
      <c r="B18" s="9" t="s">
        <v>879</v>
      </c>
      <c r="C18" s="9" t="s">
        <v>844</v>
      </c>
    </row>
    <row r="19" spans="1:3">
      <c r="A19" s="9" t="s">
        <v>880</v>
      </c>
      <c r="B19" s="9" t="s">
        <v>881</v>
      </c>
      <c r="C19" s="9" t="s">
        <v>847</v>
      </c>
    </row>
    <row r="20" spans="1:3">
      <c r="A20" s="9" t="s">
        <v>882</v>
      </c>
      <c r="B20" s="9" t="s">
        <v>883</v>
      </c>
      <c r="C20" s="9" t="s">
        <v>847</v>
      </c>
    </row>
    <row r="21" spans="1:3">
      <c r="A21" s="9" t="s">
        <v>884</v>
      </c>
      <c r="B21" s="9" t="s">
        <v>885</v>
      </c>
      <c r="C21" s="9" t="s">
        <v>847</v>
      </c>
    </row>
    <row r="22" spans="1:3">
      <c r="A22" s="9" t="s">
        <v>886</v>
      </c>
      <c r="B22" s="9" t="s">
        <v>887</v>
      </c>
      <c r="C22" s="9" t="s">
        <v>847</v>
      </c>
    </row>
    <row r="23" spans="1:3">
      <c r="A23" s="9" t="s">
        <v>888</v>
      </c>
      <c r="B23" s="9" t="s">
        <v>889</v>
      </c>
      <c r="C23" s="9" t="s">
        <v>847</v>
      </c>
    </row>
    <row r="24" spans="1:3">
      <c r="A24" s="9" t="s">
        <v>890</v>
      </c>
      <c r="B24" s="9" t="s">
        <v>891</v>
      </c>
      <c r="C24" s="9" t="s">
        <v>847</v>
      </c>
    </row>
    <row r="25" spans="1:3">
      <c r="A25" s="9" t="s">
        <v>892</v>
      </c>
      <c r="B25" s="9" t="s">
        <v>893</v>
      </c>
      <c r="C25" s="9" t="s">
        <v>847</v>
      </c>
    </row>
    <row r="26" spans="1:3">
      <c r="A26" s="9" t="s">
        <v>894</v>
      </c>
      <c r="B26" s="9" t="s">
        <v>895</v>
      </c>
      <c r="C26" s="9" t="s">
        <v>847</v>
      </c>
    </row>
    <row r="27" spans="1:3">
      <c r="A27" s="9" t="s">
        <v>896</v>
      </c>
      <c r="B27" s="9" t="s">
        <v>897</v>
      </c>
      <c r="C27" s="9" t="s">
        <v>847</v>
      </c>
    </row>
    <row r="28" spans="1:3">
      <c r="A28" s="9" t="s">
        <v>898</v>
      </c>
      <c r="B28" s="9" t="s">
        <v>899</v>
      </c>
      <c r="C28" s="9" t="s">
        <v>847</v>
      </c>
    </row>
    <row r="29" spans="1:3">
      <c r="A29" s="9" t="s">
        <v>900</v>
      </c>
      <c r="B29" s="9" t="s">
        <v>901</v>
      </c>
      <c r="C29" s="9" t="s">
        <v>847</v>
      </c>
    </row>
    <row r="30" spans="1:3">
      <c r="A30" s="9" t="s">
        <v>902</v>
      </c>
      <c r="B30" s="9" t="s">
        <v>903</v>
      </c>
      <c r="C30" s="9" t="s">
        <v>847</v>
      </c>
    </row>
    <row r="31" spans="1:3">
      <c r="A31" s="9" t="s">
        <v>904</v>
      </c>
      <c r="B31" s="9" t="s">
        <v>905</v>
      </c>
      <c r="C31" s="9" t="s">
        <v>847</v>
      </c>
    </row>
    <row r="32" spans="1:3">
      <c r="A32" s="9" t="s">
        <v>906</v>
      </c>
      <c r="B32" s="9" t="s">
        <v>907</v>
      </c>
      <c r="C32" s="9" t="s">
        <v>847</v>
      </c>
    </row>
    <row r="33" spans="1:3">
      <c r="A33" s="9" t="s">
        <v>908</v>
      </c>
      <c r="B33" s="9" t="s">
        <v>909</v>
      </c>
      <c r="C33" s="9" t="s">
        <v>847</v>
      </c>
    </row>
    <row r="34" spans="1:3">
      <c r="A34" s="9" t="s">
        <v>910</v>
      </c>
      <c r="B34" s="9" t="s">
        <v>911</v>
      </c>
      <c r="C34" s="9" t="s">
        <v>847</v>
      </c>
    </row>
    <row r="35" spans="1:3">
      <c r="A35" s="9" t="s">
        <v>912</v>
      </c>
      <c r="B35" s="9" t="s">
        <v>913</v>
      </c>
      <c r="C35" s="9" t="s">
        <v>847</v>
      </c>
    </row>
    <row r="36" spans="1:3">
      <c r="A36" s="9" t="s">
        <v>914</v>
      </c>
      <c r="B36" s="9" t="s">
        <v>915</v>
      </c>
      <c r="C36" s="9" t="s">
        <v>847</v>
      </c>
    </row>
    <row r="37" spans="1:3">
      <c r="A37" s="9" t="s">
        <v>916</v>
      </c>
      <c r="B37" s="9" t="s">
        <v>917</v>
      </c>
      <c r="C37" s="9" t="s">
        <v>847</v>
      </c>
    </row>
    <row r="38" spans="1:3">
      <c r="A38" s="9" t="s">
        <v>918</v>
      </c>
      <c r="B38" s="9" t="s">
        <v>919</v>
      </c>
      <c r="C38" s="9" t="s">
        <v>847</v>
      </c>
    </row>
    <row r="39" spans="1:3">
      <c r="A39" s="9" t="s">
        <v>920</v>
      </c>
      <c r="B39" s="9" t="s">
        <v>921</v>
      </c>
      <c r="C39" s="9" t="s">
        <v>847</v>
      </c>
    </row>
    <row r="40" spans="1:3">
      <c r="A40" s="9" t="s">
        <v>922</v>
      </c>
      <c r="B40" s="9" t="s">
        <v>923</v>
      </c>
      <c r="C40" s="9" t="s">
        <v>847</v>
      </c>
    </row>
    <row r="41" spans="1:3">
      <c r="A41" s="9" t="s">
        <v>924</v>
      </c>
      <c r="B41" s="9" t="s">
        <v>925</v>
      </c>
      <c r="C41" s="9" t="s">
        <v>847</v>
      </c>
    </row>
    <row r="42" spans="1:3">
      <c r="A42" s="9" t="s">
        <v>926</v>
      </c>
      <c r="B42" s="9" t="s">
        <v>927</v>
      </c>
      <c r="C42" s="9" t="s">
        <v>847</v>
      </c>
    </row>
    <row r="43" spans="1:3">
      <c r="A43" s="9" t="s">
        <v>928</v>
      </c>
      <c r="B43" s="9" t="s">
        <v>929</v>
      </c>
      <c r="C43" s="9" t="s">
        <v>847</v>
      </c>
    </row>
    <row r="44" spans="1:3">
      <c r="A44" s="9" t="s">
        <v>930</v>
      </c>
      <c r="B44" s="9" t="s">
        <v>931</v>
      </c>
      <c r="C44" s="9" t="s">
        <v>847</v>
      </c>
    </row>
    <row r="45" spans="1:3">
      <c r="A45" s="9" t="s">
        <v>932</v>
      </c>
      <c r="B45" s="9" t="s">
        <v>933</v>
      </c>
      <c r="C45" s="9" t="s">
        <v>847</v>
      </c>
    </row>
    <row r="46" spans="1:3">
      <c r="A46" s="9" t="s">
        <v>934</v>
      </c>
      <c r="B46" s="9" t="s">
        <v>935</v>
      </c>
      <c r="C46" s="9" t="s">
        <v>847</v>
      </c>
    </row>
    <row r="47" spans="1:3">
      <c r="A47" s="9" t="s">
        <v>936</v>
      </c>
      <c r="B47" s="9" t="s">
        <v>937</v>
      </c>
      <c r="C47" s="9" t="s">
        <v>847</v>
      </c>
    </row>
    <row r="48" spans="1:3">
      <c r="A48" s="9" t="s">
        <v>938</v>
      </c>
      <c r="B48" s="9" t="s">
        <v>939</v>
      </c>
      <c r="C48" s="9" t="s">
        <v>847</v>
      </c>
    </row>
    <row r="49" spans="1:3">
      <c r="A49" s="9" t="s">
        <v>940</v>
      </c>
      <c r="B49" s="9" t="s">
        <v>941</v>
      </c>
      <c r="C49" s="9" t="s">
        <v>847</v>
      </c>
    </row>
    <row r="50" spans="1:3">
      <c r="A50" s="9" t="s">
        <v>942</v>
      </c>
      <c r="B50" s="9" t="s">
        <v>943</v>
      </c>
      <c r="C50" s="9" t="s">
        <v>847</v>
      </c>
    </row>
    <row r="51" spans="1:3">
      <c r="A51" s="9" t="s">
        <v>944</v>
      </c>
      <c r="B51" s="9" t="s">
        <v>945</v>
      </c>
      <c r="C51" s="9" t="s">
        <v>847</v>
      </c>
    </row>
    <row r="52" spans="1:3">
      <c r="A52" s="9" t="s">
        <v>946</v>
      </c>
      <c r="B52" s="9" t="s">
        <v>947</v>
      </c>
      <c r="C52" s="9" t="s">
        <v>847</v>
      </c>
    </row>
    <row r="53" spans="1:3">
      <c r="A53" s="9" t="s">
        <v>948</v>
      </c>
      <c r="B53" s="9" t="s">
        <v>949</v>
      </c>
      <c r="C53" s="9" t="s">
        <v>847</v>
      </c>
    </row>
    <row r="54" spans="1:3">
      <c r="A54" s="9" t="s">
        <v>950</v>
      </c>
      <c r="B54" s="9" t="s">
        <v>951</v>
      </c>
      <c r="C54" s="9" t="s">
        <v>847</v>
      </c>
    </row>
    <row r="55" spans="1:3">
      <c r="A55" s="9" t="s">
        <v>952</v>
      </c>
      <c r="B55" s="9" t="s">
        <v>953</v>
      </c>
      <c r="C55" s="9" t="s">
        <v>847</v>
      </c>
    </row>
    <row r="56" spans="1:3">
      <c r="A56" s="9" t="s">
        <v>954</v>
      </c>
      <c r="B56" s="9" t="s">
        <v>955</v>
      </c>
      <c r="C56" s="9" t="s">
        <v>847</v>
      </c>
    </row>
    <row r="57" spans="1:3">
      <c r="A57" s="9" t="s">
        <v>956</v>
      </c>
      <c r="B57" s="9" t="s">
        <v>957</v>
      </c>
      <c r="C57" s="9" t="s">
        <v>847</v>
      </c>
    </row>
    <row r="58" spans="1:3">
      <c r="A58" s="9" t="s">
        <v>958</v>
      </c>
      <c r="B58" s="9" t="s">
        <v>959</v>
      </c>
      <c r="C58" s="9" t="s">
        <v>847</v>
      </c>
    </row>
    <row r="59" spans="1:3">
      <c r="A59" s="9" t="s">
        <v>960</v>
      </c>
      <c r="B59" s="9" t="s">
        <v>961</v>
      </c>
      <c r="C59" s="9" t="s">
        <v>847</v>
      </c>
    </row>
    <row r="60" spans="1:3">
      <c r="A60" s="9" t="s">
        <v>962</v>
      </c>
      <c r="B60" s="9" t="s">
        <v>963</v>
      </c>
      <c r="C60" s="9" t="s">
        <v>847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68460-7061-4599-BFB7-C15621A85B15}">
  <dimension ref="A1:D16"/>
  <sheetViews>
    <sheetView workbookViewId="0">
      <selection activeCell="H16" sqref="H16"/>
    </sheetView>
  </sheetViews>
  <sheetFormatPr defaultRowHeight="15"/>
  <cols>
    <col min="1" max="1" width="25.42578125" customWidth="1"/>
    <col min="2" max="2" width="21.28515625" customWidth="1"/>
    <col min="3" max="3" width="49.5703125" customWidth="1"/>
    <col min="4" max="4" width="15.42578125" customWidth="1"/>
  </cols>
  <sheetData>
    <row r="1" spans="1:4">
      <c r="A1" s="2" t="s">
        <v>964</v>
      </c>
      <c r="B1" s="3" t="s">
        <v>965</v>
      </c>
      <c r="C1" s="3" t="s">
        <v>966</v>
      </c>
      <c r="D1" s="3" t="s">
        <v>967</v>
      </c>
    </row>
    <row r="2" spans="1:4">
      <c r="A2" s="4" t="s">
        <v>968</v>
      </c>
      <c r="B2" s="4" t="s">
        <v>969</v>
      </c>
      <c r="C2" s="4" t="s">
        <v>970</v>
      </c>
      <c r="D2" s="4" t="s">
        <v>971</v>
      </c>
    </row>
    <row r="3" spans="1:4">
      <c r="A3" s="4" t="s">
        <v>972</v>
      </c>
      <c r="B3" s="4" t="s">
        <v>973</v>
      </c>
      <c r="C3" s="4" t="s">
        <v>974</v>
      </c>
      <c r="D3" s="4" t="s">
        <v>975</v>
      </c>
    </row>
    <row r="4" spans="1:4">
      <c r="A4" s="4" t="s">
        <v>976</v>
      </c>
      <c r="B4" s="4" t="s">
        <v>977</v>
      </c>
      <c r="C4" s="4" t="s">
        <v>978</v>
      </c>
      <c r="D4" s="4" t="s">
        <v>975</v>
      </c>
    </row>
    <row r="5" spans="1:4">
      <c r="A5" s="4" t="s">
        <v>979</v>
      </c>
      <c r="B5" s="4" t="s">
        <v>980</v>
      </c>
      <c r="C5" s="4" t="s">
        <v>981</v>
      </c>
      <c r="D5" s="4" t="s">
        <v>975</v>
      </c>
    </row>
    <row r="6" spans="1:4">
      <c r="A6" s="4" t="s">
        <v>982</v>
      </c>
      <c r="B6" s="4" t="s">
        <v>983</v>
      </c>
      <c r="C6" s="4" t="s">
        <v>984</v>
      </c>
      <c r="D6" s="4" t="s">
        <v>985</v>
      </c>
    </row>
    <row r="7" spans="1:4">
      <c r="A7" s="4" t="s">
        <v>986</v>
      </c>
      <c r="B7" s="4" t="s">
        <v>987</v>
      </c>
      <c r="C7" s="4" t="s">
        <v>988</v>
      </c>
      <c r="D7" s="4" t="s">
        <v>985</v>
      </c>
    </row>
    <row r="8" spans="1:4">
      <c r="A8" s="4" t="s">
        <v>989</v>
      </c>
      <c r="B8" s="4" t="s">
        <v>990</v>
      </c>
      <c r="C8" s="4" t="s">
        <v>991</v>
      </c>
      <c r="D8" s="4" t="s">
        <v>992</v>
      </c>
    </row>
    <row r="9" spans="1:4">
      <c r="A9" s="4" t="s">
        <v>993</v>
      </c>
      <c r="B9" s="4" t="s">
        <v>994</v>
      </c>
      <c r="C9" s="4" t="s">
        <v>995</v>
      </c>
      <c r="D9" s="4" t="s">
        <v>975</v>
      </c>
    </row>
    <row r="10" spans="1:4">
      <c r="A10" s="4" t="s">
        <v>996</v>
      </c>
      <c r="B10" s="4" t="s">
        <v>997</v>
      </c>
      <c r="C10" s="4" t="s">
        <v>998</v>
      </c>
      <c r="D10" s="4" t="s">
        <v>985</v>
      </c>
    </row>
    <row r="11" spans="1:4">
      <c r="A11" s="4" t="s">
        <v>999</v>
      </c>
      <c r="B11" s="4" t="s">
        <v>1000</v>
      </c>
      <c r="C11" s="4" t="s">
        <v>998</v>
      </c>
      <c r="D11" s="4" t="s">
        <v>985</v>
      </c>
    </row>
    <row r="12" spans="1:4">
      <c r="A12" s="4" t="s">
        <v>1001</v>
      </c>
      <c r="B12" s="4" t="s">
        <v>1002</v>
      </c>
      <c r="C12" s="4" t="s">
        <v>1003</v>
      </c>
      <c r="D12" s="4" t="s">
        <v>985</v>
      </c>
    </row>
    <row r="13" spans="1:4">
      <c r="A13" s="4" t="s">
        <v>1004</v>
      </c>
      <c r="B13" s="4" t="s">
        <v>1005</v>
      </c>
      <c r="C13" s="4" t="s">
        <v>1006</v>
      </c>
      <c r="D13" s="4" t="s">
        <v>985</v>
      </c>
    </row>
    <row r="14" spans="1:4">
      <c r="A14" s="4" t="s">
        <v>1007</v>
      </c>
      <c r="B14" s="4" t="s">
        <v>1008</v>
      </c>
      <c r="C14" s="4" t="s">
        <v>1009</v>
      </c>
      <c r="D14" s="4" t="s">
        <v>975</v>
      </c>
    </row>
    <row r="15" spans="1:4">
      <c r="A15" s="4" t="s">
        <v>1010</v>
      </c>
      <c r="B15" s="4" t="s">
        <v>1011</v>
      </c>
      <c r="C15" s="4" t="s">
        <v>1012</v>
      </c>
      <c r="D15" s="4" t="s">
        <v>985</v>
      </c>
    </row>
    <row r="16" spans="1:4">
      <c r="A16" s="4" t="s">
        <v>1013</v>
      </c>
      <c r="B16" s="4" t="s">
        <v>1014</v>
      </c>
      <c r="C16" s="4" t="s">
        <v>1015</v>
      </c>
      <c r="D16" s="4" t="s">
        <v>985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51641-0788-443C-80FC-3E1EDF15C21F}">
  <dimension ref="A1:D41"/>
  <sheetViews>
    <sheetView workbookViewId="0">
      <selection activeCell="G7" sqref="G7"/>
    </sheetView>
  </sheetViews>
  <sheetFormatPr defaultRowHeight="15"/>
  <cols>
    <col min="2" max="2" width="20.85546875" customWidth="1"/>
    <col min="3" max="3" width="88.85546875" customWidth="1"/>
    <col min="4" max="4" width="19.140625" customWidth="1"/>
  </cols>
  <sheetData>
    <row r="1" spans="1:4">
      <c r="A1" s="38" t="s">
        <v>28</v>
      </c>
      <c r="B1" s="44" t="s">
        <v>1016</v>
      </c>
      <c r="C1" s="39" t="s">
        <v>29</v>
      </c>
      <c r="D1" s="39" t="s">
        <v>30</v>
      </c>
    </row>
    <row r="2" spans="1:4">
      <c r="A2" s="36">
        <v>1</v>
      </c>
      <c r="B2" s="211" t="s">
        <v>64</v>
      </c>
      <c r="C2" s="37" t="s">
        <v>1017</v>
      </c>
      <c r="D2" s="36"/>
    </row>
    <row r="3" spans="1:4" ht="30">
      <c r="A3" s="36">
        <v>2</v>
      </c>
      <c r="B3" s="212"/>
      <c r="C3" s="42" t="s">
        <v>1018</v>
      </c>
      <c r="D3" s="36"/>
    </row>
    <row r="4" spans="1:4" ht="30">
      <c r="A4" s="40">
        <v>3</v>
      </c>
      <c r="B4" s="212"/>
      <c r="C4" s="37" t="s">
        <v>1019</v>
      </c>
      <c r="D4" s="41"/>
    </row>
    <row r="5" spans="1:4" ht="30">
      <c r="A5" s="40">
        <v>4</v>
      </c>
      <c r="B5" s="212"/>
      <c r="C5" s="8" t="s">
        <v>1020</v>
      </c>
      <c r="D5" s="36"/>
    </row>
    <row r="6" spans="1:4" ht="30">
      <c r="A6" s="36">
        <v>5</v>
      </c>
      <c r="B6" s="212"/>
      <c r="C6" s="37" t="s">
        <v>1021</v>
      </c>
      <c r="D6" s="41"/>
    </row>
    <row r="7" spans="1:4" ht="45">
      <c r="A7" s="36">
        <v>6</v>
      </c>
      <c r="B7" s="213"/>
      <c r="C7" s="37" t="s">
        <v>1022</v>
      </c>
      <c r="D7" s="36"/>
    </row>
    <row r="8" spans="1:4" ht="45">
      <c r="A8" s="36">
        <v>7</v>
      </c>
      <c r="B8" s="211" t="s">
        <v>254</v>
      </c>
      <c r="C8" s="37" t="s">
        <v>1023</v>
      </c>
      <c r="D8" s="36"/>
    </row>
    <row r="9" spans="1:4" ht="30">
      <c r="A9" s="36">
        <v>8</v>
      </c>
      <c r="B9" s="212"/>
      <c r="C9" s="37" t="s">
        <v>1024</v>
      </c>
      <c r="D9" s="36"/>
    </row>
    <row r="10" spans="1:4" ht="30">
      <c r="A10" s="36">
        <v>9</v>
      </c>
      <c r="B10" s="212"/>
      <c r="C10" s="37" t="s">
        <v>1025</v>
      </c>
      <c r="D10" s="36"/>
    </row>
    <row r="11" spans="1:4" ht="45">
      <c r="A11" s="36">
        <v>10</v>
      </c>
      <c r="B11" s="213"/>
      <c r="C11" s="37" t="s">
        <v>1026</v>
      </c>
      <c r="D11" s="36"/>
    </row>
    <row r="12" spans="1:4">
      <c r="A12" s="36">
        <v>11</v>
      </c>
      <c r="B12" s="211" t="s">
        <v>1027</v>
      </c>
      <c r="C12" s="37" t="s">
        <v>1028</v>
      </c>
      <c r="D12" s="36"/>
    </row>
    <row r="13" spans="1:4" ht="30">
      <c r="A13" s="36">
        <v>12</v>
      </c>
      <c r="B13" s="213"/>
      <c r="C13" s="37" t="s">
        <v>1029</v>
      </c>
      <c r="D13" s="36"/>
    </row>
    <row r="14" spans="1:4">
      <c r="A14" s="40">
        <v>13</v>
      </c>
      <c r="B14" s="211" t="s">
        <v>1030</v>
      </c>
      <c r="C14" s="45" t="s">
        <v>1031</v>
      </c>
      <c r="D14" s="36"/>
    </row>
    <row r="15" spans="1:4" ht="45">
      <c r="A15" s="40">
        <v>14</v>
      </c>
      <c r="B15" s="212"/>
      <c r="C15" s="8" t="s">
        <v>1032</v>
      </c>
      <c r="D15" s="36"/>
    </row>
    <row r="16" spans="1:4">
      <c r="A16" s="36">
        <v>15</v>
      </c>
      <c r="B16" s="212"/>
      <c r="C16" s="37" t="s">
        <v>1033</v>
      </c>
      <c r="D16" s="36"/>
    </row>
    <row r="17" spans="1:4" ht="30">
      <c r="A17" s="36">
        <v>16</v>
      </c>
      <c r="B17" s="212"/>
      <c r="C17" s="37" t="s">
        <v>1034</v>
      </c>
      <c r="D17" s="36"/>
    </row>
    <row r="18" spans="1:4" ht="60">
      <c r="A18" s="36">
        <v>17</v>
      </c>
      <c r="B18" s="212"/>
      <c r="C18" s="37" t="s">
        <v>1035</v>
      </c>
      <c r="D18" s="36"/>
    </row>
    <row r="19" spans="1:4" ht="30">
      <c r="A19" s="36">
        <v>18</v>
      </c>
      <c r="B19" s="212"/>
      <c r="C19" s="37" t="s">
        <v>1036</v>
      </c>
      <c r="D19" s="36"/>
    </row>
    <row r="20" spans="1:4" ht="45">
      <c r="A20" s="36">
        <v>19</v>
      </c>
      <c r="B20" s="212"/>
      <c r="C20" s="37" t="s">
        <v>1037</v>
      </c>
      <c r="D20" s="36"/>
    </row>
    <row r="21" spans="1:4" ht="82.5" customHeight="1">
      <c r="A21" s="36">
        <v>20</v>
      </c>
      <c r="B21" s="213"/>
      <c r="C21" s="43" t="s">
        <v>1038</v>
      </c>
      <c r="D21" s="36"/>
    </row>
    <row r="22" spans="1:4" ht="65.25" customHeight="1">
      <c r="A22" s="36">
        <v>21</v>
      </c>
      <c r="B22" s="209" t="s">
        <v>1039</v>
      </c>
      <c r="C22" s="43" t="s">
        <v>1040</v>
      </c>
      <c r="D22" s="36"/>
    </row>
    <row r="23" spans="1:4" ht="136.5" customHeight="1">
      <c r="A23" s="36">
        <v>22</v>
      </c>
      <c r="B23" s="212"/>
      <c r="C23" s="43" t="s">
        <v>1041</v>
      </c>
      <c r="D23" s="36"/>
    </row>
    <row r="24" spans="1:4" ht="76.5" customHeight="1">
      <c r="A24" s="36">
        <v>23</v>
      </c>
      <c r="B24" s="213"/>
      <c r="C24" s="43" t="s">
        <v>1042</v>
      </c>
      <c r="D24" s="36"/>
    </row>
    <row r="25" spans="1:4" ht="60">
      <c r="A25" s="36">
        <v>24</v>
      </c>
      <c r="B25" s="209" t="s">
        <v>1043</v>
      </c>
      <c r="C25" s="43" t="s">
        <v>1044</v>
      </c>
      <c r="D25" s="36"/>
    </row>
    <row r="26" spans="1:4" ht="45">
      <c r="A26" s="36">
        <v>25</v>
      </c>
      <c r="B26" s="210"/>
      <c r="C26" s="43" t="s">
        <v>1045</v>
      </c>
      <c r="D26" s="36"/>
    </row>
    <row r="27" spans="1:4" ht="30">
      <c r="A27" s="36">
        <v>26</v>
      </c>
      <c r="B27" s="211" t="s">
        <v>1046</v>
      </c>
      <c r="C27" s="37" t="s">
        <v>1047</v>
      </c>
      <c r="D27" s="36"/>
    </row>
    <row r="28" spans="1:4" ht="45">
      <c r="A28" s="36">
        <v>27</v>
      </c>
      <c r="B28" s="212"/>
      <c r="C28" s="37" t="s">
        <v>1048</v>
      </c>
      <c r="D28" s="36"/>
    </row>
    <row r="29" spans="1:4">
      <c r="A29" s="36">
        <v>28</v>
      </c>
      <c r="B29" s="212"/>
      <c r="C29" s="37" t="s">
        <v>1049</v>
      </c>
      <c r="D29" s="36"/>
    </row>
    <row r="30" spans="1:4">
      <c r="A30" s="36">
        <v>29</v>
      </c>
      <c r="B30" s="212"/>
      <c r="C30" s="37" t="s">
        <v>1050</v>
      </c>
      <c r="D30" s="36"/>
    </row>
    <row r="31" spans="1:4">
      <c r="A31" s="36">
        <v>30</v>
      </c>
      <c r="B31" s="212"/>
      <c r="C31" s="37" t="s">
        <v>1051</v>
      </c>
      <c r="D31" s="36"/>
    </row>
    <row r="32" spans="1:4">
      <c r="A32" s="36">
        <v>31</v>
      </c>
      <c r="B32" s="212"/>
      <c r="C32" s="37" t="s">
        <v>1052</v>
      </c>
      <c r="D32" s="36"/>
    </row>
    <row r="33" spans="1:4">
      <c r="A33" s="40">
        <v>32</v>
      </c>
      <c r="B33" s="211" t="s">
        <v>1053</v>
      </c>
      <c r="C33" s="45" t="s">
        <v>1054</v>
      </c>
      <c r="D33" s="36"/>
    </row>
    <row r="34" spans="1:4" ht="45">
      <c r="A34" s="40">
        <v>33</v>
      </c>
      <c r="B34" s="212"/>
      <c r="C34" s="45" t="s">
        <v>1055</v>
      </c>
      <c r="D34" s="36"/>
    </row>
    <row r="35" spans="1:4" ht="30">
      <c r="A35" s="40">
        <v>34</v>
      </c>
      <c r="B35" s="212"/>
      <c r="C35" s="45" t="s">
        <v>1056</v>
      </c>
      <c r="D35" s="36"/>
    </row>
    <row r="36" spans="1:4" ht="45">
      <c r="A36" s="40">
        <v>35</v>
      </c>
      <c r="B36" s="212"/>
      <c r="C36" s="45" t="s">
        <v>1057</v>
      </c>
      <c r="D36" s="36"/>
    </row>
    <row r="37" spans="1:4" ht="30">
      <c r="A37" s="40">
        <v>36</v>
      </c>
      <c r="B37" s="212"/>
      <c r="C37" s="45" t="s">
        <v>1058</v>
      </c>
      <c r="D37" s="36"/>
    </row>
    <row r="38" spans="1:4" ht="60">
      <c r="A38" s="40">
        <v>37</v>
      </c>
      <c r="B38" s="213"/>
      <c r="C38" s="45" t="s">
        <v>1059</v>
      </c>
      <c r="D38" s="36"/>
    </row>
    <row r="39" spans="1:4">
      <c r="A39" s="40">
        <v>38</v>
      </c>
      <c r="B39" s="36"/>
      <c r="C39" s="45"/>
      <c r="D39" s="36"/>
    </row>
    <row r="40" spans="1:4">
      <c r="A40" s="40">
        <v>39</v>
      </c>
      <c r="B40" s="36"/>
      <c r="C40" s="45"/>
      <c r="D40" s="36"/>
    </row>
    <row r="41" spans="1:4">
      <c r="A41" s="40">
        <v>40</v>
      </c>
      <c r="B41" s="36"/>
      <c r="C41" s="45"/>
      <c r="D41" s="36"/>
    </row>
  </sheetData>
  <mergeCells count="8">
    <mergeCell ref="B25:B26"/>
    <mergeCell ref="B27:B32"/>
    <mergeCell ref="B33:B38"/>
    <mergeCell ref="B2:B7"/>
    <mergeCell ref="B8:B11"/>
    <mergeCell ref="B12:B13"/>
    <mergeCell ref="B14:B21"/>
    <mergeCell ref="B22:B24"/>
  </mergeCells>
  <pageMargins left="0.7" right="0.7" top="0.75" bottom="0.75" header="0.3" footer="0.3"/>
</worksheet>
</file>

<file path=docMetadata/LabelInfo.xml><?xml version="1.0" encoding="utf-8"?>
<clbl:labelList xmlns:clbl="http://schemas.microsoft.com/office/2020/mipLabelMetadata">
  <clbl:label id="{c33c9f88-1eb7-4099-9700-16013fd9e8aa}" enabled="0" method="" siteId="{c33c9f88-1eb7-4099-9700-16013fd9e8aa}"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Nguyen Hieu Binh</dc:creator>
  <cp:keywords/>
  <dc:description/>
  <cp:lastModifiedBy/>
  <cp:revision/>
  <dcterms:created xsi:type="dcterms:W3CDTF">2026-01-23T09:18:24Z</dcterms:created>
  <dcterms:modified xsi:type="dcterms:W3CDTF">2026-07-13T17:30:32Z</dcterms:modified>
  <cp:category/>
  <cp:contentStatus/>
</cp:coreProperties>
</file>